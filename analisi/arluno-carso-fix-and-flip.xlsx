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Checks" sheetId="5" state="visible" r:id="rId5"/>
  </sheets>
  <definedNames>
    <definedName name="Prezzo">'Inputs'!$B$5</definedName>
    <definedName name="PrezzoBase">'Inputs'!$B$6</definedName>
    <definedName name="OffertaMinima">'Inputs'!$B$7</definedName>
    <definedName name="Cauzione_pct">'Inputs'!$B$8</definedName>
    <definedName name="Registro_pct">'Inputs'!$B$9</definedName>
    <definedName name="ImposteFisse">'Inputs'!$B$10</definedName>
    <definedName name="SpeseTrasf">'Inputs'!$B$11</definedName>
    <definedName name="ArretratiCond">'Inputs'!$B$12</definedName>
    <definedName name="CondAnnuo">'Inputs'!$B$13</definedName>
    <definedName name="ImuAnnua">'Inputs'!$B$14</definedName>
    <definedName name="UtenzeMese">'Inputs'!$B$15</definedName>
    <definedName name="MqAlloggio">'Inputs'!$B$16</definedName>
    <definedName name="MqComm">'Inputs'!$B$17</definedName>
    <definedName name="LavoriMq">'Inputs'!$B$18</definedName>
    <definedName name="Imprevisti_pct">'Inputs'!$B$19</definedName>
    <definedName name="Regolarizz">'Inputs'!$B$20</definedName>
    <definedName name="Vendita_pct">'Inputs'!$B$21</definedName>
    <definedName name="Ires_pct">'Inputs'!$B$22</definedName>
    <definedName name="Accessori">'Inputs'!$B$23</definedName>
    <definedName name="ValorePerizia">'Inputs'!$B$24</definedName>
    <definedName name="Margine_obj">'Inputs'!$B$25</definedName>
    <definedName name="Irr_obj">'Inputs'!$B$26</definedName>
    <definedName name="Moltiplicatore">'Inputs'!$B$27</definedName>
    <definedName name="DataAgg">'Inputs'!$B$28</definedName>
    <definedName name="MeseSaldo">'Inputs'!$B$29</definedName>
    <definedName name="MesiDecreto">'Inputs'!$B$30</definedName>
    <definedName name="MesiLavori">'Inputs'!$B$31</definedName>
    <definedName name="Sponsor_cap">'Inputs'!$B$32</definedName>
    <definedName name="Pref_pct">'Inputs'!$B$33</definedName>
    <definedName name="Sponsor_split">'Inputs'!$B$34</definedName>
    <definedName name="MesiGriglia">'Inputs'!$B$35</definedName>
    <definedName name="NumScenari">'Inputs'!$B$36</definedName>
    <definedName name="Scenario">'Inputs'!$B$39</definedName>
    <definedName name="UscitaMq">'Inputs'!$B$41</definedName>
    <definedName name="MesiLiberazione">'Inputs'!$B$42</definedName>
    <definedName name="Ripristino">'Inputs'!$B$43</definedName>
    <definedName name="MesiVendita">'Inputs'!$B$44</definedName>
    <definedName name="MeseDecreto">'Inputs'!$B$47</definedName>
    <definedName name="MeseLiber">'Inputs'!$B$48</definedName>
    <definedName name="MeseLavoriIni">'Inputs'!$B$49</definedName>
    <definedName name="MeseLavoriFine">'Inputs'!$B$50</definedName>
    <definedName name="MeseVendita">'Inputs'!$B$51</definedName>
    <definedName name="Arv">'Inputs'!$B$52</definedName>
    <definedName name="LavoriTot">'Inputs'!$B$53</definedName>
    <definedName name="TassoMese">'Inputs'!$B$54</definedName>
    <definedName name="ErroriTot">'Checks'!$B$21</definedName>
    <definedName name="AvvisiTot">'Checks'!$B$22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&quot; €&quot;;[Red]-#,##0&quot; €&quot;"/>
    <numFmt numFmtId="165" formatCode="0.0%"/>
    <numFmt numFmtId="166" formatCode="#,##0.0&quot; mq&quot;"/>
    <numFmt numFmtId="167" formatCode="0.00&quot;x&quot;"/>
    <numFmt numFmtId="168" formatCode="yyyy-mm-dd"/>
    <numFmt numFmtId="169" formatCode="dd/mm/yyyy"/>
    <numFmt numFmtId="170" formatCode="0.000%"/>
    <numFmt numFmtId="171" formatCode="0&quot; mesi&quot;"/>
    <numFmt numFmtId="172" formatCode="0.0000"/>
    <numFmt numFmtId="173" formatCode="#,##0&quot; €/mq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  <font>
      <color rgb="0000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73" fontId="5" fillId="0" borderId="0" pivotButton="0" quotePrefix="0" xfId="0"/>
    <xf numFmtId="3" fontId="5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0" fontId="4" fillId="0" borderId="0" pivotButton="0" quotePrefix="0" xfId="0"/>
    <xf numFmtId="169" fontId="0" fillId="0" borderId="0" pivotButton="0" quotePrefix="0" xfId="0"/>
    <xf numFmtId="164" fontId="2" fillId="0" borderId="0" pivotButton="0" quotePrefix="0" xfId="0"/>
    <xf numFmtId="164" fontId="2" fillId="0" borderId="1" pivotButton="0" quotePrefix="0" xfId="0"/>
    <xf numFmtId="165" fontId="2" fillId="0" borderId="0" pivotButton="0" quotePrefix="0" xfId="0"/>
    <xf numFmtId="167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65" fontId="0" fillId="0" borderId="0" pivotButton="0" quotePrefix="0" xfId="0"/>
    <xf numFmtId="173" fontId="2" fillId="0" borderId="0" pivotButton="0" quotePrefix="0" xfId="0"/>
    <xf numFmtId="17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3" max="3"/>
  </cols>
  <sheetData>
    <row r="1">
      <c r="A1" s="1" t="inlineStr">
        <is>
          <t>Quantum Re - Fix &amp; flip, lotto PVP 4635523</t>
        </is>
      </c>
    </row>
    <row r="2">
      <c r="A2" t="inlineStr">
        <is>
          <t>Via Del Carso 2-4-6, Arluno (MI), zona OMI B1. Trilocale A/3 al 2 piano senza ascensore, cantina e box 21 mq; edificio anni '70. RGE 1138/2025, asta 02/12/2026.</t>
        </is>
      </c>
    </row>
    <row r="3">
      <c r="A3" t="inlineStr">
        <is>
          <t>Segni: entrate positive, uscite negative. IRR: mensile composto ((1+IRR)^12-1). Nessun debito: capitale proprio del club deal.</t>
        </is>
      </c>
    </row>
    <row r="5">
      <c r="A5" t="inlineStr">
        <is>
          <t>Scenario attivo</t>
        </is>
      </c>
      <c r="C5" s="2">
        <f>CHOOSE(Scenario,"Base","Favorevole","Sfavorevole")</f>
        <v/>
      </c>
    </row>
    <row r="6">
      <c r="A6" t="inlineStr">
        <is>
          <t>Prezzo massimo d'offerta</t>
        </is>
      </c>
      <c r="C6" s="3">
        <f>Outputs!C21</f>
        <v/>
      </c>
    </row>
    <row r="7">
      <c r="A7" t="inlineStr">
        <is>
          <t>Vincolo che lega</t>
        </is>
      </c>
      <c r="C7" s="2">
        <f>Outputs!C22</f>
        <v/>
      </c>
    </row>
    <row r="8">
      <c r="A8" t="inlineStr">
        <is>
          <t>Margine all'offerta minima (84.600)</t>
        </is>
      </c>
      <c r="C8" s="4">
        <f>Outputs!C50</f>
        <v/>
      </c>
    </row>
    <row r="9">
      <c r="A9" t="inlineStr">
        <is>
          <t>Aggiudicazione attesa (base x moltiplicatore)</t>
        </is>
      </c>
      <c r="C9" s="3">
        <f>Outputs!C24</f>
        <v/>
      </c>
    </row>
    <row r="10">
      <c r="A10" t="inlineStr">
        <is>
          <t>Al prezzo offerto: margine sul costo</t>
        </is>
      </c>
      <c r="C10" s="4">
        <f>Outputs!C7</f>
        <v/>
      </c>
    </row>
    <row r="11">
      <c r="A11" t="inlineStr">
        <is>
          <t>Uscita minima per margine 30% (al prezzo offerto)</t>
        </is>
      </c>
      <c r="C11" s="5">
        <f>Outputs!C28</f>
        <v/>
      </c>
    </row>
    <row r="12">
      <c r="A12" t="inlineStr">
        <is>
          <t>Uscita per utile zero</t>
        </is>
      </c>
      <c r="C12" s="5">
        <f>Outputs!C29</f>
        <v/>
      </c>
    </row>
    <row r="13">
      <c r="A13" t="inlineStr">
        <is>
          <t>Capitale impegnato</t>
        </is>
      </c>
      <c r="C13" s="3">
        <f>Outputs!C8</f>
        <v/>
      </c>
    </row>
    <row r="14">
      <c r="A14" t="inlineStr">
        <is>
          <t>Errori nei controlli</t>
        </is>
      </c>
      <c r="C14" s="6">
        <f>ErroriTot</f>
        <v/>
      </c>
    </row>
    <row r="15">
      <c r="A15" t="inlineStr">
        <is>
          <t>Avvisi</t>
        </is>
      </c>
      <c r="C15" s="6">
        <f>AvvisiTot</f>
        <v/>
      </c>
    </row>
    <row r="16">
      <c r="A16" t="inlineStr">
        <is>
          <t>Al prezzo offerto: IRR ante imposte</t>
        </is>
      </c>
      <c r="C16" s="4">
        <f>Outputs!C9</f>
        <v/>
      </c>
    </row>
    <row r="17">
      <c r="A17" t="inlineStr">
        <is>
          <t>Da confermare prima di offrire: stato interno al sopralluogo, tempi di liberazione, assemblee condominiali recenti, regime fiscale, percentuale della cauzione.</t>
        </is>
      </c>
    </row>
    <row r="18">
      <c r="A18" t="inlineStr">
        <is>
          <t>Fonti: avviso di vendita e perizia (PVP, RGE 1138/2025), OMI Agenzia Entrate 2026-1, storico QRE. Ipotesi in blu nel foglio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4" customWidth="1" min="4" max="4"/>
    <col width="13" customWidth="1" min="5" max="5"/>
    <col width="13" customWidth="1" min="6" max="6"/>
    <col width="60" customWidth="1" min="7" max="7"/>
  </cols>
  <sheetData>
    <row r="1">
      <c r="A1" s="1" t="inlineStr">
        <is>
          <t>Ipotesi e dati - Lotto PVP 4635523, via Del Carso 2-4-6, Arluno (RGE 1138/2025)</t>
        </is>
      </c>
    </row>
    <row r="2">
      <c r="A2" t="inlineStr">
        <is>
          <t>Blu = dato o ipotesi inseriti a mano; nero = formula. Ogni riga dichiara la fonte.</t>
        </is>
      </c>
    </row>
    <row r="4">
      <c r="A4" s="7" t="inlineStr">
        <is>
          <t>Voce</t>
        </is>
      </c>
      <c r="B4" s="7" t="inlineStr">
        <is>
          <t>Usato</t>
        </is>
      </c>
      <c r="C4" s="7" t="inlineStr">
        <is>
          <t>Unita'</t>
        </is>
      </c>
      <c r="D4" s="7" t="inlineStr">
        <is>
          <t>Fonte / stato</t>
        </is>
      </c>
    </row>
    <row r="5">
      <c r="A5" t="inlineStr">
        <is>
          <t>Prezzo offerto (aggiudicazione)</t>
        </is>
      </c>
      <c r="B5" s="8" t="n">
        <v>112800</v>
      </c>
      <c r="C5" t="inlineStr">
        <is>
          <t>EUR</t>
        </is>
      </c>
      <c r="D5" t="inlineStr">
        <is>
          <t>Caso base = prezzo base dell'avviso. Variabile di decisione</t>
        </is>
      </c>
    </row>
    <row r="6">
      <c r="A6" t="inlineStr">
        <is>
          <t>Prezzo base</t>
        </is>
      </c>
      <c r="B6" s="8" t="n">
        <v>112800</v>
      </c>
      <c r="C6" t="inlineStr">
        <is>
          <t>EUR</t>
        </is>
      </c>
      <c r="D6" t="inlineStr">
        <is>
          <t>Dato: avviso di vendita</t>
        </is>
      </c>
    </row>
    <row r="7">
      <c r="A7" t="inlineStr">
        <is>
          <t>Offerta minima (75% della base)</t>
        </is>
      </c>
      <c r="B7" s="8" t="n">
        <v>84600</v>
      </c>
      <c r="C7" t="inlineStr">
        <is>
          <t>EUR</t>
        </is>
      </c>
      <c r="D7" t="inlineStr">
        <is>
          <t>Dato: avviso di vendita</t>
        </is>
      </c>
    </row>
    <row r="8">
      <c r="A8" t="inlineStr">
        <is>
          <t>Cauzione versata con l'offerta</t>
        </is>
      </c>
      <c r="B8" s="9" t="n">
        <v>0.1</v>
      </c>
      <c r="C8" t="inlineStr">
        <is>
          <t>% prezzo</t>
        </is>
      </c>
      <c r="D8" t="inlineStr">
        <is>
          <t>IPOTESI: prassi 10%; il testo estratto dell'avviso non riporta la percentuale, verificarla</t>
        </is>
      </c>
    </row>
    <row r="9">
      <c r="A9" t="inlineStr">
        <is>
          <t>Imposta di registro (societa')</t>
        </is>
      </c>
      <c r="B9" s="9" t="n">
        <v>0.09</v>
      </c>
      <c r="C9" t="inlineStr">
        <is>
          <t>% prezzo</t>
        </is>
      </c>
      <c r="D9" t="inlineStr">
        <is>
          <t>IPOTESI da verificare col parere fiscale (agevolazioni per imprese che rivendono, IVA)</t>
        </is>
      </c>
    </row>
    <row r="10">
      <c r="A10" t="inlineStr">
        <is>
          <t>Ipotecaria + catastale</t>
        </is>
      </c>
      <c r="B10" s="8" t="n">
        <v>100</v>
      </c>
      <c r="C10" t="inlineStr">
        <is>
          <t>EUR</t>
        </is>
      </c>
      <c r="D10" t="inlineStr">
        <is>
          <t>Ipotesi: 50 + 50 EUR in misura fissa</t>
        </is>
      </c>
    </row>
    <row r="11">
      <c r="A11" t="inlineStr">
        <is>
          <t>Compenso delegato e spese di trasferimento</t>
        </is>
      </c>
      <c r="B11" s="8" t="n">
        <v>2000</v>
      </c>
      <c r="C11" t="inlineStr">
        <is>
          <t>EUR</t>
        </is>
      </c>
      <c r="D11" t="inlineStr">
        <is>
          <t>IPOTESI; cancellazione gravami a carico della procedura (avviso)</t>
        </is>
      </c>
    </row>
    <row r="12">
      <c r="A12" t="inlineStr">
        <is>
          <t>Spese condominiali arretrate (art. 63 disp. att. c.c.)</t>
        </is>
      </c>
      <c r="B12" s="8" t="n">
        <v>9350</v>
      </c>
      <c r="C12" t="inlineStr">
        <is>
          <t>EUR</t>
        </is>
      </c>
      <c r="D12" t="inlineStr">
        <is>
          <t>Dato: perizia (2 anni di ordinarie 6.700 + straordinarie deliberate 2.650)</t>
        </is>
      </c>
    </row>
    <row r="13">
      <c r="A13" t="inlineStr">
        <is>
          <t>Spese condominiali ordinarie</t>
        </is>
      </c>
      <c r="B13" s="8" t="n">
        <v>3700</v>
      </c>
      <c r="C13" t="inlineStr">
        <is>
          <t>EUR/anno</t>
        </is>
      </c>
      <c r="D13" t="inlineStr">
        <is>
          <t>Dato: perizia (preventivo 2024-25, riscaldamento centralizzato compreso)</t>
        </is>
      </c>
    </row>
    <row r="14">
      <c r="A14" t="inlineStr">
        <is>
          <t>IMU</t>
        </is>
      </c>
      <c r="B14" s="8" t="n">
        <v>744</v>
      </c>
      <c r="C14" t="inlineStr">
        <is>
          <t>EUR/anno</t>
        </is>
      </c>
      <c r="D14" t="inlineStr">
        <is>
          <t>Calcolo: rendite 355,06 + 62,90 x 1,05 x 160 x 10,6 per mille (aliquota di Arluno: IPOTESI)</t>
        </is>
      </c>
    </row>
    <row r="15">
      <c r="A15" t="inlineStr">
        <is>
          <t>Utenze e assicurazione</t>
        </is>
      </c>
      <c r="B15" s="8" t="n">
        <v>80</v>
      </c>
      <c r="C15" t="inlineStr">
        <is>
          <t>EUR/mese</t>
        </is>
      </c>
      <c r="D15" t="inlineStr">
        <is>
          <t>IPOTESI</t>
        </is>
      </c>
    </row>
    <row r="16">
      <c r="A16" t="inlineStr">
        <is>
          <t>Superficie alloggio</t>
        </is>
      </c>
      <c r="B16" s="10" t="n">
        <v>96</v>
      </c>
      <c r="C16" t="inlineStr">
        <is>
          <t>mq</t>
        </is>
      </c>
      <c r="D16" t="inlineStr">
        <is>
          <t>Dato: perizia, superficie lorda dell'appartamento</t>
        </is>
      </c>
    </row>
    <row r="17">
      <c r="A17" t="inlineStr">
        <is>
          <t>Superficie commerciale</t>
        </is>
      </c>
      <c r="B17" s="10" t="n">
        <v>98</v>
      </c>
      <c r="C17" t="inlineStr">
        <is>
          <t>mq</t>
        </is>
      </c>
      <c r="D17" t="inlineStr">
        <is>
          <t>Dato: perizia (96 alloggio + balcone e cantina omogeneizzati); box a parte</t>
        </is>
      </c>
    </row>
    <row r="18">
      <c r="A18" t="inlineStr">
        <is>
          <t>Lavori di finitura</t>
        </is>
      </c>
      <c r="B18" s="8" t="n">
        <v>250</v>
      </c>
      <c r="C18" t="inlineStr">
        <is>
          <t>EUR/mq alloggio</t>
        </is>
      </c>
      <c r="D18" t="inlineStr">
        <is>
          <t>IPOTESI: condizioni generali 'buone' (perizia), rinfresco; da verificare al sopralluogo</t>
        </is>
      </c>
    </row>
    <row r="19">
      <c r="A19" t="inlineStr">
        <is>
          <t>Imprevisti sui lavori</t>
        </is>
      </c>
      <c r="B19" s="9" t="n">
        <v>0.05</v>
      </c>
      <c r="C19" t="inlineStr">
        <is>
          <t>% lavori</t>
        </is>
      </c>
      <c r="D19" t="inlineStr">
        <is>
          <t>Ipotesi della decisione del 18/10/2026</t>
        </is>
      </c>
    </row>
    <row r="20">
      <c r="A20" t="inlineStr">
        <is>
          <t>Sanatoria e aggiornamento catastale</t>
        </is>
      </c>
      <c r="B20" s="8" t="n">
        <v>3500</v>
      </c>
      <c r="C20" t="inlineStr">
        <is>
          <t>EUR</t>
        </is>
      </c>
      <c r="D20" t="inlineStr">
        <is>
          <t>Dato: perizia (CILA in sanatoria onerosa + DOCFA)</t>
        </is>
      </c>
    </row>
    <row r="21">
      <c r="A21" t="inlineStr">
        <is>
          <t>Costi di vendita (agenzia 3% + IVA)</t>
        </is>
      </c>
      <c r="B21" s="9" t="n">
        <v>0.0366</v>
      </c>
      <c r="C21" t="inlineStr">
        <is>
          <t>% prezzo di vendita</t>
        </is>
      </c>
      <c r="D21" t="inlineStr">
        <is>
          <t>IPOTESI</t>
        </is>
      </c>
    </row>
    <row r="22">
      <c r="A22" t="inlineStr">
        <is>
          <t>IRES sull'utile</t>
        </is>
      </c>
      <c r="B22" s="9" t="n">
        <v>0.24</v>
      </c>
      <c r="C22" t="inlineStr">
        <is>
          <t>% utile</t>
        </is>
      </c>
      <c r="D22" t="inlineStr">
        <is>
          <t>Aliquota di legge; base imponibile da parere fiscale (IRAP esclusa)</t>
        </is>
      </c>
    </row>
    <row r="23">
      <c r="A23" t="inlineStr">
        <is>
          <t>Valore di vendita di box e accessori non compresi nella superficie</t>
        </is>
      </c>
      <c r="B23" s="8" t="n">
        <v>13000</v>
      </c>
      <c r="C23" t="inlineStr">
        <is>
          <t>EUR</t>
        </is>
      </c>
      <c r="D23" t="inlineStr">
        <is>
          <t>Box 21 mq: agenzie di zona 12.500-13.000 a corpo, Piu' Prezzi 11.400-15.800, perizia 15.000; prudente</t>
        </is>
      </c>
    </row>
    <row r="24">
      <c r="A24" t="inlineStr">
        <is>
          <t>Valore dell'alloggio in perizia (senza box, prima delle decurtazioni)</t>
        </is>
      </c>
      <c r="B24" s="8" t="n">
        <v>147000</v>
      </c>
      <c r="C24" t="inlineStr">
        <is>
          <t>EUR</t>
        </is>
      </c>
      <c r="D24" t="inlineStr">
        <is>
          <t>Dato: perizia (98 mq x 1.500 EUR/mq); lotto 162.000, al netto delle decurtazioni 141.050</t>
        </is>
      </c>
    </row>
    <row r="25">
      <c r="A25" t="inlineStr">
        <is>
          <t>Margine obiettivo sul costo</t>
        </is>
      </c>
      <c r="B25" s="9" t="n">
        <v>0.3</v>
      </c>
      <c r="C25" t="inlineStr"/>
      <c r="D25" t="inlineStr">
        <is>
          <t>Soglia QRE</t>
        </is>
      </c>
    </row>
    <row r="26">
      <c r="A26" t="inlineStr">
        <is>
          <t>IRR minimo annuo</t>
        </is>
      </c>
      <c r="B26" s="9" t="n">
        <v>0.12</v>
      </c>
      <c r="C26" t="inlineStr"/>
      <c r="D26" t="inlineStr">
        <is>
          <t>Soglia QRE</t>
        </is>
      </c>
    </row>
    <row r="27">
      <c r="A27" t="inlineStr">
        <is>
          <t>Aggiudicazione attesa / base (giudiziarie)</t>
        </is>
      </c>
      <c r="B27" s="11" t="n">
        <v>1.2</v>
      </c>
      <c r="C27" t="inlineStr"/>
      <c r="D27" t="inlineStr">
        <is>
          <t>Storico QRE: 19 aste 2022-2026, mediana 1,20 (radar); per l'hinterland non calibrato</t>
        </is>
      </c>
    </row>
    <row r="28">
      <c r="A28" t="inlineStr">
        <is>
          <t>Data di aggiudicazione</t>
        </is>
      </c>
      <c r="B28" s="12" t="n">
        <v>46358</v>
      </c>
      <c r="C28" t="inlineStr">
        <is>
          <t>data</t>
        </is>
      </c>
      <c r="D28" t="inlineStr">
        <is>
          <t>Dato: avviso di vendita</t>
        </is>
      </c>
    </row>
    <row r="29">
      <c r="A29" t="inlineStr">
        <is>
          <t>Saldo prezzo (mesi dall'aggiudicazione)</t>
        </is>
      </c>
      <c r="B29" s="13" t="n">
        <v>4</v>
      </c>
      <c r="C29" t="inlineStr">
        <is>
          <t>mesi</t>
        </is>
      </c>
      <c r="D29" t="inlineStr">
        <is>
          <t>Dato: avviso, entro 120 giorni</t>
        </is>
      </c>
    </row>
    <row r="30">
      <c r="A30" t="inlineStr">
        <is>
          <t>Dal saldo al decreto di trasferimento</t>
        </is>
      </c>
      <c r="B30" s="13" t="n">
        <v>2</v>
      </c>
      <c r="C30" t="inlineStr">
        <is>
          <t>mesi</t>
        </is>
      </c>
      <c r="D30" t="inlineStr">
        <is>
          <t>IPOTESI</t>
        </is>
      </c>
    </row>
    <row r="31">
      <c r="A31" t="inlineStr">
        <is>
          <t>Durata lavori e regolarizzazioni</t>
        </is>
      </c>
      <c r="B31" s="13" t="n">
        <v>2</v>
      </c>
      <c r="C31" t="inlineStr">
        <is>
          <t>mesi</t>
        </is>
      </c>
      <c r="D31" t="inlineStr">
        <is>
          <t>IPOTESI</t>
        </is>
      </c>
    </row>
    <row r="32">
      <c r="A32" t="inlineStr">
        <is>
          <t>Quota di capitale del promotore (QRE)</t>
        </is>
      </c>
      <c r="B32" s="9" t="n">
        <v>0.1</v>
      </c>
      <c r="C32" t="inlineStr"/>
      <c r="D32" t="inlineStr">
        <is>
          <t>IPOTESI di struttura del club deal</t>
        </is>
      </c>
    </row>
    <row r="33">
      <c r="A33" t="inlineStr">
        <is>
          <t>Rendimento preferenziale investitori</t>
        </is>
      </c>
      <c r="B33" s="9" t="n">
        <v>0.08</v>
      </c>
      <c r="C33" t="inlineStr">
        <is>
          <t>annuo</t>
        </is>
      </c>
      <c r="D33" t="inlineStr">
        <is>
          <t>IPOTESI di struttura del club deal</t>
        </is>
      </c>
    </row>
    <row r="34">
      <c r="A34" t="inlineStr">
        <is>
          <t>Quota dell'utile residuo al promotore</t>
        </is>
      </c>
      <c r="B34" s="9" t="n">
        <v>0.3</v>
      </c>
      <c r="C34" t="inlineStr"/>
      <c r="D34" t="inlineStr">
        <is>
          <t>IPOTESI di struttura del club deal</t>
        </is>
      </c>
    </row>
    <row r="35">
      <c r="A35" t="inlineStr">
        <is>
          <t>Mesi coperti dalla griglia dei flussi</t>
        </is>
      </c>
      <c r="B35" s="13" t="n">
        <v>36</v>
      </c>
      <c r="C35" t="inlineStr">
        <is>
          <t>mesi</t>
        </is>
      </c>
      <c r="D35" t="inlineStr">
        <is>
          <t>Costante del modello: la vendita deve cadere entro</t>
        </is>
      </c>
    </row>
    <row r="36">
      <c r="A36" t="inlineStr">
        <is>
          <t>Scenari implementati</t>
        </is>
      </c>
      <c r="B36" s="13" t="n">
        <v>3</v>
      </c>
      <c r="C36" t="inlineStr">
        <is>
          <t>n</t>
        </is>
      </c>
      <c r="D36" t="inlineStr">
        <is>
          <t>Costante del modello</t>
        </is>
      </c>
    </row>
    <row r="38">
      <c r="A38" s="7" t="inlineStr">
        <is>
          <t>Scenari (driver incerti)</t>
        </is>
      </c>
    </row>
    <row r="39">
      <c r="A39" t="inlineStr">
        <is>
          <t>Scenario attivo (1 Base, 2 Favorevole, 3 Sfavorevole)</t>
        </is>
      </c>
      <c r="B39" s="14" t="n">
        <v>1</v>
      </c>
    </row>
    <row r="40">
      <c r="A40" s="7" t="inlineStr">
        <is>
          <t>Driver</t>
        </is>
      </c>
      <c r="B40" s="7" t="inlineStr">
        <is>
          <t>Usato</t>
        </is>
      </c>
      <c r="C40" s="7" t="inlineStr">
        <is>
          <t>Unita'</t>
        </is>
      </c>
      <c r="D40" s="7" t="inlineStr">
        <is>
          <t>Base</t>
        </is>
      </c>
      <c r="E40" s="7" t="inlineStr">
        <is>
          <t>Favorevole</t>
        </is>
      </c>
      <c r="F40" s="7" t="inlineStr">
        <is>
          <t>Sfavorevole</t>
        </is>
      </c>
      <c r="G40" s="7" t="inlineStr">
        <is>
          <t>Motivo</t>
        </is>
      </c>
    </row>
    <row r="41">
      <c r="A41" t="inlineStr">
        <is>
          <t>Valore di uscita</t>
        </is>
      </c>
      <c r="B41" s="15">
        <f>CHOOSE(Scenario,D41,E41,F41)</f>
        <v/>
      </c>
      <c r="C41" t="inlineStr">
        <is>
          <t>EUR/mq</t>
        </is>
      </c>
      <c r="D41" s="8" t="n">
        <v>1550</v>
      </c>
      <c r="E41" s="8" t="n">
        <v>1700</v>
      </c>
      <c r="F41" s="8" t="n">
        <v>1400</v>
      </c>
      <c r="G41" t="inlineStr">
        <is>
          <t>OMI 2026-1 zona B1 abitazioni di tipo economico stato OTTIMO 1.450-1.700; agenzie di zona 1.570-1.670 (perizia); perizia 1.500 nello stato attuale</t>
        </is>
      </c>
    </row>
    <row r="42">
      <c r="A42" t="inlineStr">
        <is>
          <t>Liberazione dopo il decreto (occupante senza titolo)</t>
        </is>
      </c>
      <c r="B42" s="16">
        <f>CHOOSE(Scenario,D42,E42,F42)</f>
        <v/>
      </c>
      <c r="C42" t="inlineStr">
        <is>
          <t>mesi</t>
        </is>
      </c>
      <c r="D42" s="13" t="n">
        <v>1</v>
      </c>
      <c r="E42" s="13" t="n">
        <v>0</v>
      </c>
      <c r="F42" s="13" t="n">
        <v>4</v>
      </c>
      <c r="G42" t="inlineStr">
        <is>
          <t>Ordine di liberazione gia' emesso il 29/05/2026 (perizia); tempi del custode: IPOTESI</t>
        </is>
      </c>
    </row>
    <row r="43">
      <c r="A43" t="inlineStr">
        <is>
          <t>Imprevisti su impianti e parti comuni (edificio anni '70)</t>
        </is>
      </c>
      <c r="B43" s="15">
        <f>CHOOSE(Scenario,D43,E43,F43)</f>
        <v/>
      </c>
      <c r="C43" t="inlineStr">
        <is>
          <t>EUR</t>
        </is>
      </c>
      <c r="D43" s="8" t="n">
        <v>3000</v>
      </c>
      <c r="E43" s="8" t="n">
        <v>0</v>
      </c>
      <c r="F43" s="8" t="n">
        <v>12000</v>
      </c>
      <c r="G43" t="inlineStr">
        <is>
          <t>IPOTESI: riscaldamento centralizzato e straordinarie non ancora deliberate</t>
        </is>
      </c>
    </row>
    <row r="44">
      <c r="A44" t="inlineStr">
        <is>
          <t>Commercializzazione e rogito</t>
        </is>
      </c>
      <c r="B44" s="16">
        <f>CHOOSE(Scenario,D44,E44,F44)</f>
        <v/>
      </c>
      <c r="C44" t="inlineStr">
        <is>
          <t>mesi</t>
        </is>
      </c>
      <c r="D44" s="13" t="n">
        <v>5</v>
      </c>
      <c r="E44" s="13" t="n">
        <v>3</v>
      </c>
      <c r="F44" s="13" t="n">
        <v>8</v>
      </c>
      <c r="G44" t="inlineStr">
        <is>
          <t>IPOTESI</t>
        </is>
      </c>
    </row>
    <row r="46">
      <c r="A46" s="7" t="inlineStr">
        <is>
          <t>Calendario derivato</t>
        </is>
      </c>
    </row>
    <row r="47">
      <c r="A47" t="inlineStr">
        <is>
          <t>Mese del decreto</t>
        </is>
      </c>
      <c r="B47" s="16">
        <f>MeseSaldo+MesiDecreto</f>
        <v/>
      </c>
    </row>
    <row r="48">
      <c r="A48" t="inlineStr">
        <is>
          <t>Mese della liberazione</t>
        </is>
      </c>
      <c r="B48" s="16">
        <f>MeseDecreto+MesiLiberazione</f>
        <v/>
      </c>
    </row>
    <row r="49">
      <c r="A49" t="inlineStr">
        <is>
          <t>Inizio lavori</t>
        </is>
      </c>
      <c r="B49" s="16">
        <f>MeseLiber+1</f>
        <v/>
      </c>
    </row>
    <row r="50">
      <c r="A50" t="inlineStr">
        <is>
          <t>Fine lavori</t>
        </is>
      </c>
      <c r="B50" s="16">
        <f>MeseLavoriIni+MesiLavori-1</f>
        <v/>
      </c>
    </row>
    <row r="51">
      <c r="A51" t="inlineStr">
        <is>
          <t>Mese della vendita</t>
        </is>
      </c>
      <c r="B51" s="16">
        <f>MeseLavoriFine+MesiVendita</f>
        <v/>
      </c>
    </row>
    <row r="52">
      <c r="A52" t="inlineStr">
        <is>
          <t>Prezzo di vendita (uscita x superficie commerciale + accessori)</t>
        </is>
      </c>
      <c r="B52" s="15">
        <f>UscitaMq*MqComm+Accessori</f>
        <v/>
      </c>
    </row>
    <row r="53">
      <c r="A53" t="inlineStr">
        <is>
          <t>Lavori di finitura con imprevisti</t>
        </is>
      </c>
      <c r="B53" s="15">
        <f>LavoriMq*MqAlloggio*(1+Imprevisti_pct)</f>
        <v/>
      </c>
    </row>
    <row r="54">
      <c r="A54" t="inlineStr">
        <is>
          <t>Tasso mensile equivalente all'IRR obiettivo</t>
        </is>
      </c>
      <c r="B54" s="17">
        <f>(1+Irr_obj)^(1/12)-1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8" customWidth="1" min="2" max="2"/>
    <col width="14" customWidth="1" min="3" max="3"/>
    <col width="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Flussi di cassa mensili (entrate +, uscite -), senza debito: capitale del club deal</t>
        </is>
      </c>
    </row>
    <row r="3">
      <c r="A3" s="18" t="inlineStr">
        <is>
          <t>Mese</t>
        </is>
      </c>
      <c r="B3" t="inlineStr">
        <is>
          <t>n</t>
        </is>
      </c>
      <c r="E3" s="16">
        <f>IF(ISNUMBER(D3),D3+1,0)</f>
        <v/>
      </c>
      <c r="F3" s="16">
        <f>IF(ISNUMBER(E3),E3+1,0)</f>
        <v/>
      </c>
      <c r="G3" s="16">
        <f>IF(ISNUMBER(F3),F3+1,0)</f>
        <v/>
      </c>
      <c r="H3" s="16">
        <f>IF(ISNUMBER(G3),G3+1,0)</f>
        <v/>
      </c>
      <c r="I3" s="16">
        <f>IF(ISNUMBER(H3),H3+1,0)</f>
        <v/>
      </c>
      <c r="J3" s="16">
        <f>IF(ISNUMBER(I3),I3+1,0)</f>
        <v/>
      </c>
      <c r="K3" s="16">
        <f>IF(ISNUMBER(J3),J3+1,0)</f>
        <v/>
      </c>
      <c r="L3" s="16">
        <f>IF(ISNUMBER(K3),K3+1,0)</f>
        <v/>
      </c>
      <c r="M3" s="16">
        <f>IF(ISNUMBER(L3),L3+1,0)</f>
        <v/>
      </c>
      <c r="N3" s="16">
        <f>IF(ISNUMBER(M3),M3+1,0)</f>
        <v/>
      </c>
      <c r="O3" s="16">
        <f>IF(ISNUMBER(N3),N3+1,0)</f>
        <v/>
      </c>
      <c r="P3" s="16">
        <f>IF(ISNUMBER(O3),O3+1,0)</f>
        <v/>
      </c>
      <c r="Q3" s="16">
        <f>IF(ISNUMBER(P3),P3+1,0)</f>
        <v/>
      </c>
      <c r="R3" s="16">
        <f>IF(ISNUMBER(Q3),Q3+1,0)</f>
        <v/>
      </c>
      <c r="S3" s="16">
        <f>IF(ISNUMBER(R3),R3+1,0)</f>
        <v/>
      </c>
      <c r="T3" s="16">
        <f>IF(ISNUMBER(S3),S3+1,0)</f>
        <v/>
      </c>
      <c r="U3" s="16">
        <f>IF(ISNUMBER(T3),T3+1,0)</f>
        <v/>
      </c>
      <c r="V3" s="16">
        <f>IF(ISNUMBER(U3),U3+1,0)</f>
        <v/>
      </c>
      <c r="W3" s="16">
        <f>IF(ISNUMBER(V3),V3+1,0)</f>
        <v/>
      </c>
      <c r="X3" s="16">
        <f>IF(ISNUMBER(W3),W3+1,0)</f>
        <v/>
      </c>
      <c r="Y3" s="16">
        <f>IF(ISNUMBER(X3),X3+1,0)</f>
        <v/>
      </c>
      <c r="Z3" s="16">
        <f>IF(ISNUMBER(Y3),Y3+1,0)</f>
        <v/>
      </c>
      <c r="AA3" s="16">
        <f>IF(ISNUMBER(Z3),Z3+1,0)</f>
        <v/>
      </c>
      <c r="AB3" s="16">
        <f>IF(ISNUMBER(AA3),AA3+1,0)</f>
        <v/>
      </c>
      <c r="AC3" s="16">
        <f>IF(ISNUMBER(AB3),AB3+1,0)</f>
        <v/>
      </c>
      <c r="AD3" s="16">
        <f>IF(ISNUMBER(AC3),AC3+1,0)</f>
        <v/>
      </c>
      <c r="AE3" s="16">
        <f>IF(ISNUMBER(AD3),AD3+1,0)</f>
        <v/>
      </c>
      <c r="AF3" s="16">
        <f>IF(ISNUMBER(AE3),AE3+1,0)</f>
        <v/>
      </c>
      <c r="AG3" s="16">
        <f>IF(ISNUMBER(AF3),AF3+1,0)</f>
        <v/>
      </c>
      <c r="AH3" s="16">
        <f>IF(ISNUMBER(AG3),AG3+1,0)</f>
        <v/>
      </c>
      <c r="AI3" s="16">
        <f>IF(ISNUMBER(AH3),AH3+1,0)</f>
        <v/>
      </c>
      <c r="AJ3" s="16">
        <f>IF(ISNUMBER(AI3),AI3+1,0)</f>
        <v/>
      </c>
      <c r="AK3" s="16">
        <f>IF(ISNUMBER(AJ3),AJ3+1,0)</f>
        <v/>
      </c>
      <c r="AL3" s="16">
        <f>IF(ISNUMBER(AK3),AK3+1,0)</f>
        <v/>
      </c>
      <c r="AM3" s="16">
        <f>IF(ISNUMBER(AL3),AL3+1,0)</f>
        <v/>
      </c>
      <c r="AN3" s="16">
        <f>IF(ISNUMBER(AM3),AM3+1,0)</f>
        <v/>
      </c>
      <c r="AO3" s="16">
        <f>IF(ISNUMBER(AN3),AN3+1,0)</f>
        <v/>
      </c>
    </row>
    <row r="4">
      <c r="A4" s="18" t="inlineStr">
        <is>
          <t>Data (fine mese)</t>
        </is>
      </c>
      <c r="B4" t="inlineStr">
        <is>
          <t>data</t>
        </is>
      </c>
      <c r="E4" s="19">
        <f>EOMONTH(DataAgg,E3)</f>
        <v/>
      </c>
      <c r="F4" s="19">
        <f>EOMONTH(DataAgg,F3)</f>
        <v/>
      </c>
      <c r="G4" s="19">
        <f>EOMONTH(DataAgg,G3)</f>
        <v/>
      </c>
      <c r="H4" s="19">
        <f>EOMONTH(DataAgg,H3)</f>
        <v/>
      </c>
      <c r="I4" s="19">
        <f>EOMONTH(DataAgg,I3)</f>
        <v/>
      </c>
      <c r="J4" s="19">
        <f>EOMONTH(DataAgg,J3)</f>
        <v/>
      </c>
      <c r="K4" s="19">
        <f>EOMONTH(DataAgg,K3)</f>
        <v/>
      </c>
      <c r="L4" s="19">
        <f>EOMONTH(DataAgg,L3)</f>
        <v/>
      </c>
      <c r="M4" s="19">
        <f>EOMONTH(DataAgg,M3)</f>
        <v/>
      </c>
      <c r="N4" s="19">
        <f>EOMONTH(DataAgg,N3)</f>
        <v/>
      </c>
      <c r="O4" s="19">
        <f>EOMONTH(DataAgg,O3)</f>
        <v/>
      </c>
      <c r="P4" s="19">
        <f>EOMONTH(DataAgg,P3)</f>
        <v/>
      </c>
      <c r="Q4" s="19">
        <f>EOMONTH(DataAgg,Q3)</f>
        <v/>
      </c>
      <c r="R4" s="19">
        <f>EOMONTH(DataAgg,R3)</f>
        <v/>
      </c>
      <c r="S4" s="19">
        <f>EOMONTH(DataAgg,S3)</f>
        <v/>
      </c>
      <c r="T4" s="19">
        <f>EOMONTH(DataAgg,T3)</f>
        <v/>
      </c>
      <c r="U4" s="19">
        <f>EOMONTH(DataAgg,U3)</f>
        <v/>
      </c>
      <c r="V4" s="19">
        <f>EOMONTH(DataAgg,V3)</f>
        <v/>
      </c>
      <c r="W4" s="19">
        <f>EOMONTH(DataAgg,W3)</f>
        <v/>
      </c>
      <c r="X4" s="19">
        <f>EOMONTH(DataAgg,X3)</f>
        <v/>
      </c>
      <c r="Y4" s="19">
        <f>EOMONTH(DataAgg,Y3)</f>
        <v/>
      </c>
      <c r="Z4" s="19">
        <f>EOMONTH(DataAgg,Z3)</f>
        <v/>
      </c>
      <c r="AA4" s="19">
        <f>EOMONTH(DataAgg,AA3)</f>
        <v/>
      </c>
      <c r="AB4" s="19">
        <f>EOMONTH(DataAgg,AB3)</f>
        <v/>
      </c>
      <c r="AC4" s="19">
        <f>EOMONTH(DataAgg,AC3)</f>
        <v/>
      </c>
      <c r="AD4" s="19">
        <f>EOMONTH(DataAgg,AD3)</f>
        <v/>
      </c>
      <c r="AE4" s="19">
        <f>EOMONTH(DataAgg,AE3)</f>
        <v/>
      </c>
      <c r="AF4" s="19">
        <f>EOMONTH(DataAgg,AF3)</f>
        <v/>
      </c>
      <c r="AG4" s="19">
        <f>EOMONTH(DataAgg,AG3)</f>
        <v/>
      </c>
      <c r="AH4" s="19">
        <f>EOMONTH(DataAgg,AH3)</f>
        <v/>
      </c>
      <c r="AI4" s="19">
        <f>EOMONTH(DataAgg,AI3)</f>
        <v/>
      </c>
      <c r="AJ4" s="19">
        <f>EOMONTH(DataAgg,AJ3)</f>
        <v/>
      </c>
      <c r="AK4" s="19">
        <f>EOMONTH(DataAgg,AK3)</f>
        <v/>
      </c>
      <c r="AL4" s="19">
        <f>EOMONTH(DataAgg,AL3)</f>
        <v/>
      </c>
      <c r="AM4" s="19">
        <f>EOMONTH(DataAgg,AM3)</f>
        <v/>
      </c>
      <c r="AN4" s="19">
        <f>EOMONTH(DataAgg,AN3)</f>
        <v/>
      </c>
      <c r="AO4" s="19">
        <f>EOMONTH(DataAgg,AO3)</f>
        <v/>
      </c>
    </row>
    <row r="5">
      <c r="A5" s="18" t="inlineStr">
        <is>
          <t>Flag saldo</t>
        </is>
      </c>
      <c r="B5" t="inlineStr">
        <is>
          <t>1/0</t>
        </is>
      </c>
      <c r="C5" s="16">
        <f>SUM(E5:AO5)</f>
        <v/>
      </c>
      <c r="E5" s="16">
        <f>1*(E$3=MeseSaldo)</f>
        <v/>
      </c>
      <c r="F5" s="16">
        <f>1*(F$3=MeseSaldo)</f>
        <v/>
      </c>
      <c r="G5" s="16">
        <f>1*(G$3=MeseSaldo)</f>
        <v/>
      </c>
      <c r="H5" s="16">
        <f>1*(H$3=MeseSaldo)</f>
        <v/>
      </c>
      <c r="I5" s="16">
        <f>1*(I$3=MeseSaldo)</f>
        <v/>
      </c>
      <c r="J5" s="16">
        <f>1*(J$3=MeseSaldo)</f>
        <v/>
      </c>
      <c r="K5" s="16">
        <f>1*(K$3=MeseSaldo)</f>
        <v/>
      </c>
      <c r="L5" s="16">
        <f>1*(L$3=MeseSaldo)</f>
        <v/>
      </c>
      <c r="M5" s="16">
        <f>1*(M$3=MeseSaldo)</f>
        <v/>
      </c>
      <c r="N5" s="16">
        <f>1*(N$3=MeseSaldo)</f>
        <v/>
      </c>
      <c r="O5" s="16">
        <f>1*(O$3=MeseSaldo)</f>
        <v/>
      </c>
      <c r="P5" s="16">
        <f>1*(P$3=MeseSaldo)</f>
        <v/>
      </c>
      <c r="Q5" s="16">
        <f>1*(Q$3=MeseSaldo)</f>
        <v/>
      </c>
      <c r="R5" s="16">
        <f>1*(R$3=MeseSaldo)</f>
        <v/>
      </c>
      <c r="S5" s="16">
        <f>1*(S$3=MeseSaldo)</f>
        <v/>
      </c>
      <c r="T5" s="16">
        <f>1*(T$3=MeseSaldo)</f>
        <v/>
      </c>
      <c r="U5" s="16">
        <f>1*(U$3=MeseSaldo)</f>
        <v/>
      </c>
      <c r="V5" s="16">
        <f>1*(V$3=MeseSaldo)</f>
        <v/>
      </c>
      <c r="W5" s="16">
        <f>1*(W$3=MeseSaldo)</f>
        <v/>
      </c>
      <c r="X5" s="16">
        <f>1*(X$3=MeseSaldo)</f>
        <v/>
      </c>
      <c r="Y5" s="16">
        <f>1*(Y$3=MeseSaldo)</f>
        <v/>
      </c>
      <c r="Z5" s="16">
        <f>1*(Z$3=MeseSaldo)</f>
        <v/>
      </c>
      <c r="AA5" s="16">
        <f>1*(AA$3=MeseSaldo)</f>
        <v/>
      </c>
      <c r="AB5" s="16">
        <f>1*(AB$3=MeseSaldo)</f>
        <v/>
      </c>
      <c r="AC5" s="16">
        <f>1*(AC$3=MeseSaldo)</f>
        <v/>
      </c>
      <c r="AD5" s="16">
        <f>1*(AD$3=MeseSaldo)</f>
        <v/>
      </c>
      <c r="AE5" s="16">
        <f>1*(AE$3=MeseSaldo)</f>
        <v/>
      </c>
      <c r="AF5" s="16">
        <f>1*(AF$3=MeseSaldo)</f>
        <v/>
      </c>
      <c r="AG5" s="16">
        <f>1*(AG$3=MeseSaldo)</f>
        <v/>
      </c>
      <c r="AH5" s="16">
        <f>1*(AH$3=MeseSaldo)</f>
        <v/>
      </c>
      <c r="AI5" s="16">
        <f>1*(AI$3=MeseSaldo)</f>
        <v/>
      </c>
      <c r="AJ5" s="16">
        <f>1*(AJ$3=MeseSaldo)</f>
        <v/>
      </c>
      <c r="AK5" s="16">
        <f>1*(AK$3=MeseSaldo)</f>
        <v/>
      </c>
      <c r="AL5" s="16">
        <f>1*(AL$3=MeseSaldo)</f>
        <v/>
      </c>
      <c r="AM5" s="16">
        <f>1*(AM$3=MeseSaldo)</f>
        <v/>
      </c>
      <c r="AN5" s="16">
        <f>1*(AN$3=MeseSaldo)</f>
        <v/>
      </c>
      <c r="AO5" s="16">
        <f>1*(AO$3=MeseSaldo)</f>
        <v/>
      </c>
    </row>
    <row r="6">
      <c r="A6" s="18" t="inlineStr">
        <is>
          <t>Flag decreto</t>
        </is>
      </c>
      <c r="B6" t="inlineStr">
        <is>
          <t>1/0</t>
        </is>
      </c>
      <c r="C6" s="16">
        <f>SUM(E6:AO6)</f>
        <v/>
      </c>
      <c r="E6" s="16">
        <f>1*(E$3=MeseDecreto)</f>
        <v/>
      </c>
      <c r="F6" s="16">
        <f>1*(F$3=MeseDecreto)</f>
        <v/>
      </c>
      <c r="G6" s="16">
        <f>1*(G$3=MeseDecreto)</f>
        <v/>
      </c>
      <c r="H6" s="16">
        <f>1*(H$3=MeseDecreto)</f>
        <v/>
      </c>
      <c r="I6" s="16">
        <f>1*(I$3=MeseDecreto)</f>
        <v/>
      </c>
      <c r="J6" s="16">
        <f>1*(J$3=MeseDecreto)</f>
        <v/>
      </c>
      <c r="K6" s="16">
        <f>1*(K$3=MeseDecreto)</f>
        <v/>
      </c>
      <c r="L6" s="16">
        <f>1*(L$3=MeseDecreto)</f>
        <v/>
      </c>
      <c r="M6" s="16">
        <f>1*(M$3=MeseDecreto)</f>
        <v/>
      </c>
      <c r="N6" s="16">
        <f>1*(N$3=MeseDecreto)</f>
        <v/>
      </c>
      <c r="O6" s="16">
        <f>1*(O$3=MeseDecreto)</f>
        <v/>
      </c>
      <c r="P6" s="16">
        <f>1*(P$3=MeseDecreto)</f>
        <v/>
      </c>
      <c r="Q6" s="16">
        <f>1*(Q$3=MeseDecreto)</f>
        <v/>
      </c>
      <c r="R6" s="16">
        <f>1*(R$3=MeseDecreto)</f>
        <v/>
      </c>
      <c r="S6" s="16">
        <f>1*(S$3=MeseDecreto)</f>
        <v/>
      </c>
      <c r="T6" s="16">
        <f>1*(T$3=MeseDecreto)</f>
        <v/>
      </c>
      <c r="U6" s="16">
        <f>1*(U$3=MeseDecreto)</f>
        <v/>
      </c>
      <c r="V6" s="16">
        <f>1*(V$3=MeseDecreto)</f>
        <v/>
      </c>
      <c r="W6" s="16">
        <f>1*(W$3=MeseDecreto)</f>
        <v/>
      </c>
      <c r="X6" s="16">
        <f>1*(X$3=MeseDecreto)</f>
        <v/>
      </c>
      <c r="Y6" s="16">
        <f>1*(Y$3=MeseDecreto)</f>
        <v/>
      </c>
      <c r="Z6" s="16">
        <f>1*(Z$3=MeseDecreto)</f>
        <v/>
      </c>
      <c r="AA6" s="16">
        <f>1*(AA$3=MeseDecreto)</f>
        <v/>
      </c>
      <c r="AB6" s="16">
        <f>1*(AB$3=MeseDecreto)</f>
        <v/>
      </c>
      <c r="AC6" s="16">
        <f>1*(AC$3=MeseDecreto)</f>
        <v/>
      </c>
      <c r="AD6" s="16">
        <f>1*(AD$3=MeseDecreto)</f>
        <v/>
      </c>
      <c r="AE6" s="16">
        <f>1*(AE$3=MeseDecreto)</f>
        <v/>
      </c>
      <c r="AF6" s="16">
        <f>1*(AF$3=MeseDecreto)</f>
        <v/>
      </c>
      <c r="AG6" s="16">
        <f>1*(AG$3=MeseDecreto)</f>
        <v/>
      </c>
      <c r="AH6" s="16">
        <f>1*(AH$3=MeseDecreto)</f>
        <v/>
      </c>
      <c r="AI6" s="16">
        <f>1*(AI$3=MeseDecreto)</f>
        <v/>
      </c>
      <c r="AJ6" s="16">
        <f>1*(AJ$3=MeseDecreto)</f>
        <v/>
      </c>
      <c r="AK6" s="16">
        <f>1*(AK$3=MeseDecreto)</f>
        <v/>
      </c>
      <c r="AL6" s="16">
        <f>1*(AL$3=MeseDecreto)</f>
        <v/>
      </c>
      <c r="AM6" s="16">
        <f>1*(AM$3=MeseDecreto)</f>
        <v/>
      </c>
      <c r="AN6" s="16">
        <f>1*(AN$3=MeseDecreto)</f>
        <v/>
      </c>
      <c r="AO6" s="16">
        <f>1*(AO$3=MeseDecreto)</f>
        <v/>
      </c>
    </row>
    <row r="7">
      <c r="A7" s="18" t="inlineStr">
        <is>
          <t>Flag possesso (decreto - vendita)</t>
        </is>
      </c>
      <c r="B7" t="inlineStr">
        <is>
          <t>1/0</t>
        </is>
      </c>
      <c r="C7" s="16">
        <f>SUM(E7:AO7)</f>
        <v/>
      </c>
      <c r="E7" s="16">
        <f>1*(E$3&gt;MeseDecreto)*(E$3&lt;=MeseVendita)</f>
        <v/>
      </c>
      <c r="F7" s="16">
        <f>1*(F$3&gt;MeseDecreto)*(F$3&lt;=MeseVendita)</f>
        <v/>
      </c>
      <c r="G7" s="16">
        <f>1*(G$3&gt;MeseDecreto)*(G$3&lt;=MeseVendita)</f>
        <v/>
      </c>
      <c r="H7" s="16">
        <f>1*(H$3&gt;MeseDecreto)*(H$3&lt;=MeseVendita)</f>
        <v/>
      </c>
      <c r="I7" s="16">
        <f>1*(I$3&gt;MeseDecreto)*(I$3&lt;=MeseVendita)</f>
        <v/>
      </c>
      <c r="J7" s="16">
        <f>1*(J$3&gt;MeseDecreto)*(J$3&lt;=MeseVendita)</f>
        <v/>
      </c>
      <c r="K7" s="16">
        <f>1*(K$3&gt;MeseDecreto)*(K$3&lt;=MeseVendita)</f>
        <v/>
      </c>
      <c r="L7" s="16">
        <f>1*(L$3&gt;MeseDecreto)*(L$3&lt;=MeseVendita)</f>
        <v/>
      </c>
      <c r="M7" s="16">
        <f>1*(M$3&gt;MeseDecreto)*(M$3&lt;=MeseVendita)</f>
        <v/>
      </c>
      <c r="N7" s="16">
        <f>1*(N$3&gt;MeseDecreto)*(N$3&lt;=MeseVendita)</f>
        <v/>
      </c>
      <c r="O7" s="16">
        <f>1*(O$3&gt;MeseDecreto)*(O$3&lt;=MeseVendita)</f>
        <v/>
      </c>
      <c r="P7" s="16">
        <f>1*(P$3&gt;MeseDecreto)*(P$3&lt;=MeseVendita)</f>
        <v/>
      </c>
      <c r="Q7" s="16">
        <f>1*(Q$3&gt;MeseDecreto)*(Q$3&lt;=MeseVendita)</f>
        <v/>
      </c>
      <c r="R7" s="16">
        <f>1*(R$3&gt;MeseDecreto)*(R$3&lt;=MeseVendita)</f>
        <v/>
      </c>
      <c r="S7" s="16">
        <f>1*(S$3&gt;MeseDecreto)*(S$3&lt;=MeseVendita)</f>
        <v/>
      </c>
      <c r="T7" s="16">
        <f>1*(T$3&gt;MeseDecreto)*(T$3&lt;=MeseVendita)</f>
        <v/>
      </c>
      <c r="U7" s="16">
        <f>1*(U$3&gt;MeseDecreto)*(U$3&lt;=MeseVendita)</f>
        <v/>
      </c>
      <c r="V7" s="16">
        <f>1*(V$3&gt;MeseDecreto)*(V$3&lt;=MeseVendita)</f>
        <v/>
      </c>
      <c r="W7" s="16">
        <f>1*(W$3&gt;MeseDecreto)*(W$3&lt;=MeseVendita)</f>
        <v/>
      </c>
      <c r="X7" s="16">
        <f>1*(X$3&gt;MeseDecreto)*(X$3&lt;=MeseVendita)</f>
        <v/>
      </c>
      <c r="Y7" s="16">
        <f>1*(Y$3&gt;MeseDecreto)*(Y$3&lt;=MeseVendita)</f>
        <v/>
      </c>
      <c r="Z7" s="16">
        <f>1*(Z$3&gt;MeseDecreto)*(Z$3&lt;=MeseVendita)</f>
        <v/>
      </c>
      <c r="AA7" s="16">
        <f>1*(AA$3&gt;MeseDecreto)*(AA$3&lt;=MeseVendita)</f>
        <v/>
      </c>
      <c r="AB7" s="16">
        <f>1*(AB$3&gt;MeseDecreto)*(AB$3&lt;=MeseVendita)</f>
        <v/>
      </c>
      <c r="AC7" s="16">
        <f>1*(AC$3&gt;MeseDecreto)*(AC$3&lt;=MeseVendita)</f>
        <v/>
      </c>
      <c r="AD7" s="16">
        <f>1*(AD$3&gt;MeseDecreto)*(AD$3&lt;=MeseVendita)</f>
        <v/>
      </c>
      <c r="AE7" s="16">
        <f>1*(AE$3&gt;MeseDecreto)*(AE$3&lt;=MeseVendita)</f>
        <v/>
      </c>
      <c r="AF7" s="16">
        <f>1*(AF$3&gt;MeseDecreto)*(AF$3&lt;=MeseVendita)</f>
        <v/>
      </c>
      <c r="AG7" s="16">
        <f>1*(AG$3&gt;MeseDecreto)*(AG$3&lt;=MeseVendita)</f>
        <v/>
      </c>
      <c r="AH7" s="16">
        <f>1*(AH$3&gt;MeseDecreto)*(AH$3&lt;=MeseVendita)</f>
        <v/>
      </c>
      <c r="AI7" s="16">
        <f>1*(AI$3&gt;MeseDecreto)*(AI$3&lt;=MeseVendita)</f>
        <v/>
      </c>
      <c r="AJ7" s="16">
        <f>1*(AJ$3&gt;MeseDecreto)*(AJ$3&lt;=MeseVendita)</f>
        <v/>
      </c>
      <c r="AK7" s="16">
        <f>1*(AK$3&gt;MeseDecreto)*(AK$3&lt;=MeseVendita)</f>
        <v/>
      </c>
      <c r="AL7" s="16">
        <f>1*(AL$3&gt;MeseDecreto)*(AL$3&lt;=MeseVendita)</f>
        <v/>
      </c>
      <c r="AM7" s="16">
        <f>1*(AM$3&gt;MeseDecreto)*(AM$3&lt;=MeseVendita)</f>
        <v/>
      </c>
      <c r="AN7" s="16">
        <f>1*(AN$3&gt;MeseDecreto)*(AN$3&lt;=MeseVendita)</f>
        <v/>
      </c>
      <c r="AO7" s="16">
        <f>1*(AO$3&gt;MeseDecreto)*(AO$3&lt;=MeseVendita)</f>
        <v/>
      </c>
    </row>
    <row r="8">
      <c r="A8" s="18" t="inlineStr">
        <is>
          <t>Flag lavori</t>
        </is>
      </c>
      <c r="B8" t="inlineStr">
        <is>
          <t>1/0</t>
        </is>
      </c>
      <c r="C8" s="16">
        <f>SUM(E8:AO8)</f>
        <v/>
      </c>
      <c r="E8" s="16">
        <f>1*(E$3&gt;=MeseLavoriIni)*(E$3&lt;=MeseLavoriFine)</f>
        <v/>
      </c>
      <c r="F8" s="16">
        <f>1*(F$3&gt;=MeseLavoriIni)*(F$3&lt;=MeseLavoriFine)</f>
        <v/>
      </c>
      <c r="G8" s="16">
        <f>1*(G$3&gt;=MeseLavoriIni)*(G$3&lt;=MeseLavoriFine)</f>
        <v/>
      </c>
      <c r="H8" s="16">
        <f>1*(H$3&gt;=MeseLavoriIni)*(H$3&lt;=MeseLavoriFine)</f>
        <v/>
      </c>
      <c r="I8" s="16">
        <f>1*(I$3&gt;=MeseLavoriIni)*(I$3&lt;=MeseLavoriFine)</f>
        <v/>
      </c>
      <c r="J8" s="16">
        <f>1*(J$3&gt;=MeseLavoriIni)*(J$3&lt;=MeseLavoriFine)</f>
        <v/>
      </c>
      <c r="K8" s="16">
        <f>1*(K$3&gt;=MeseLavoriIni)*(K$3&lt;=MeseLavoriFine)</f>
        <v/>
      </c>
      <c r="L8" s="16">
        <f>1*(L$3&gt;=MeseLavoriIni)*(L$3&lt;=MeseLavoriFine)</f>
        <v/>
      </c>
      <c r="M8" s="16">
        <f>1*(M$3&gt;=MeseLavoriIni)*(M$3&lt;=MeseLavoriFine)</f>
        <v/>
      </c>
      <c r="N8" s="16">
        <f>1*(N$3&gt;=MeseLavoriIni)*(N$3&lt;=MeseLavoriFine)</f>
        <v/>
      </c>
      <c r="O8" s="16">
        <f>1*(O$3&gt;=MeseLavoriIni)*(O$3&lt;=MeseLavoriFine)</f>
        <v/>
      </c>
      <c r="P8" s="16">
        <f>1*(P$3&gt;=MeseLavoriIni)*(P$3&lt;=MeseLavoriFine)</f>
        <v/>
      </c>
      <c r="Q8" s="16">
        <f>1*(Q$3&gt;=MeseLavoriIni)*(Q$3&lt;=MeseLavoriFine)</f>
        <v/>
      </c>
      <c r="R8" s="16">
        <f>1*(R$3&gt;=MeseLavoriIni)*(R$3&lt;=MeseLavoriFine)</f>
        <v/>
      </c>
      <c r="S8" s="16">
        <f>1*(S$3&gt;=MeseLavoriIni)*(S$3&lt;=MeseLavoriFine)</f>
        <v/>
      </c>
      <c r="T8" s="16">
        <f>1*(T$3&gt;=MeseLavoriIni)*(T$3&lt;=MeseLavoriFine)</f>
        <v/>
      </c>
      <c r="U8" s="16">
        <f>1*(U$3&gt;=MeseLavoriIni)*(U$3&lt;=MeseLavoriFine)</f>
        <v/>
      </c>
      <c r="V8" s="16">
        <f>1*(V$3&gt;=MeseLavoriIni)*(V$3&lt;=MeseLavoriFine)</f>
        <v/>
      </c>
      <c r="W8" s="16">
        <f>1*(W$3&gt;=MeseLavoriIni)*(W$3&lt;=MeseLavoriFine)</f>
        <v/>
      </c>
      <c r="X8" s="16">
        <f>1*(X$3&gt;=MeseLavoriIni)*(X$3&lt;=MeseLavoriFine)</f>
        <v/>
      </c>
      <c r="Y8" s="16">
        <f>1*(Y$3&gt;=MeseLavoriIni)*(Y$3&lt;=MeseLavoriFine)</f>
        <v/>
      </c>
      <c r="Z8" s="16">
        <f>1*(Z$3&gt;=MeseLavoriIni)*(Z$3&lt;=MeseLavoriFine)</f>
        <v/>
      </c>
      <c r="AA8" s="16">
        <f>1*(AA$3&gt;=MeseLavoriIni)*(AA$3&lt;=MeseLavoriFine)</f>
        <v/>
      </c>
      <c r="AB8" s="16">
        <f>1*(AB$3&gt;=MeseLavoriIni)*(AB$3&lt;=MeseLavoriFine)</f>
        <v/>
      </c>
      <c r="AC8" s="16">
        <f>1*(AC$3&gt;=MeseLavoriIni)*(AC$3&lt;=MeseLavoriFine)</f>
        <v/>
      </c>
      <c r="AD8" s="16">
        <f>1*(AD$3&gt;=MeseLavoriIni)*(AD$3&lt;=MeseLavoriFine)</f>
        <v/>
      </c>
      <c r="AE8" s="16">
        <f>1*(AE$3&gt;=MeseLavoriIni)*(AE$3&lt;=MeseLavoriFine)</f>
        <v/>
      </c>
      <c r="AF8" s="16">
        <f>1*(AF$3&gt;=MeseLavoriIni)*(AF$3&lt;=MeseLavoriFine)</f>
        <v/>
      </c>
      <c r="AG8" s="16">
        <f>1*(AG$3&gt;=MeseLavoriIni)*(AG$3&lt;=MeseLavoriFine)</f>
        <v/>
      </c>
      <c r="AH8" s="16">
        <f>1*(AH$3&gt;=MeseLavoriIni)*(AH$3&lt;=MeseLavoriFine)</f>
        <v/>
      </c>
      <c r="AI8" s="16">
        <f>1*(AI$3&gt;=MeseLavoriIni)*(AI$3&lt;=MeseLavoriFine)</f>
        <v/>
      </c>
      <c r="AJ8" s="16">
        <f>1*(AJ$3&gt;=MeseLavoriIni)*(AJ$3&lt;=MeseLavoriFine)</f>
        <v/>
      </c>
      <c r="AK8" s="16">
        <f>1*(AK$3&gt;=MeseLavoriIni)*(AK$3&lt;=MeseLavoriFine)</f>
        <v/>
      </c>
      <c r="AL8" s="16">
        <f>1*(AL$3&gt;=MeseLavoriIni)*(AL$3&lt;=MeseLavoriFine)</f>
        <v/>
      </c>
      <c r="AM8" s="16">
        <f>1*(AM$3&gt;=MeseLavoriIni)*(AM$3&lt;=MeseLavoriFine)</f>
        <v/>
      </c>
      <c r="AN8" s="16">
        <f>1*(AN$3&gt;=MeseLavoriIni)*(AN$3&lt;=MeseLavoriFine)</f>
        <v/>
      </c>
      <c r="AO8" s="16">
        <f>1*(AO$3&gt;=MeseLavoriIni)*(AO$3&lt;=MeseLavoriFine)</f>
        <v/>
      </c>
    </row>
    <row r="9">
      <c r="A9" s="18" t="inlineStr">
        <is>
          <t>Flag inizio lavori</t>
        </is>
      </c>
      <c r="B9" t="inlineStr">
        <is>
          <t>1/0</t>
        </is>
      </c>
      <c r="C9" s="16">
        <f>SUM(E9:AO9)</f>
        <v/>
      </c>
      <c r="E9" s="16">
        <f>1*(E$3=MeseLavoriIni)</f>
        <v/>
      </c>
      <c r="F9" s="16">
        <f>1*(F$3=MeseLavoriIni)</f>
        <v/>
      </c>
      <c r="G9" s="16">
        <f>1*(G$3=MeseLavoriIni)</f>
        <v/>
      </c>
      <c r="H9" s="16">
        <f>1*(H$3=MeseLavoriIni)</f>
        <v/>
      </c>
      <c r="I9" s="16">
        <f>1*(I$3=MeseLavoriIni)</f>
        <v/>
      </c>
      <c r="J9" s="16">
        <f>1*(J$3=MeseLavoriIni)</f>
        <v/>
      </c>
      <c r="K9" s="16">
        <f>1*(K$3=MeseLavoriIni)</f>
        <v/>
      </c>
      <c r="L9" s="16">
        <f>1*(L$3=MeseLavoriIni)</f>
        <v/>
      </c>
      <c r="M9" s="16">
        <f>1*(M$3=MeseLavoriIni)</f>
        <v/>
      </c>
      <c r="N9" s="16">
        <f>1*(N$3=MeseLavoriIni)</f>
        <v/>
      </c>
      <c r="O9" s="16">
        <f>1*(O$3=MeseLavoriIni)</f>
        <v/>
      </c>
      <c r="P9" s="16">
        <f>1*(P$3=MeseLavoriIni)</f>
        <v/>
      </c>
      <c r="Q9" s="16">
        <f>1*(Q$3=MeseLavoriIni)</f>
        <v/>
      </c>
      <c r="R9" s="16">
        <f>1*(R$3=MeseLavoriIni)</f>
        <v/>
      </c>
      <c r="S9" s="16">
        <f>1*(S$3=MeseLavoriIni)</f>
        <v/>
      </c>
      <c r="T9" s="16">
        <f>1*(T$3=MeseLavoriIni)</f>
        <v/>
      </c>
      <c r="U9" s="16">
        <f>1*(U$3=MeseLavoriIni)</f>
        <v/>
      </c>
      <c r="V9" s="16">
        <f>1*(V$3=MeseLavoriIni)</f>
        <v/>
      </c>
      <c r="W9" s="16">
        <f>1*(W$3=MeseLavoriIni)</f>
        <v/>
      </c>
      <c r="X9" s="16">
        <f>1*(X$3=MeseLavoriIni)</f>
        <v/>
      </c>
      <c r="Y9" s="16">
        <f>1*(Y$3=MeseLavoriIni)</f>
        <v/>
      </c>
      <c r="Z9" s="16">
        <f>1*(Z$3=MeseLavoriIni)</f>
        <v/>
      </c>
      <c r="AA9" s="16">
        <f>1*(AA$3=MeseLavoriIni)</f>
        <v/>
      </c>
      <c r="AB9" s="16">
        <f>1*(AB$3=MeseLavoriIni)</f>
        <v/>
      </c>
      <c r="AC9" s="16">
        <f>1*(AC$3=MeseLavoriIni)</f>
        <v/>
      </c>
      <c r="AD9" s="16">
        <f>1*(AD$3=MeseLavoriIni)</f>
        <v/>
      </c>
      <c r="AE9" s="16">
        <f>1*(AE$3=MeseLavoriIni)</f>
        <v/>
      </c>
      <c r="AF9" s="16">
        <f>1*(AF$3=MeseLavoriIni)</f>
        <v/>
      </c>
      <c r="AG9" s="16">
        <f>1*(AG$3=MeseLavoriIni)</f>
        <v/>
      </c>
      <c r="AH9" s="16">
        <f>1*(AH$3=MeseLavoriIni)</f>
        <v/>
      </c>
      <c r="AI9" s="16">
        <f>1*(AI$3=MeseLavoriIni)</f>
        <v/>
      </c>
      <c r="AJ9" s="16">
        <f>1*(AJ$3=MeseLavoriIni)</f>
        <v/>
      </c>
      <c r="AK9" s="16">
        <f>1*(AK$3=MeseLavoriIni)</f>
        <v/>
      </c>
      <c r="AL9" s="16">
        <f>1*(AL$3=MeseLavoriIni)</f>
        <v/>
      </c>
      <c r="AM9" s="16">
        <f>1*(AM$3=MeseLavoriIni)</f>
        <v/>
      </c>
      <c r="AN9" s="16">
        <f>1*(AN$3=MeseLavoriIni)</f>
        <v/>
      </c>
      <c r="AO9" s="16">
        <f>1*(AO$3=MeseLavoriIni)</f>
        <v/>
      </c>
    </row>
    <row r="10">
      <c r="A10" s="18" t="inlineStr">
        <is>
          <t>Flag vendita</t>
        </is>
      </c>
      <c r="B10" t="inlineStr">
        <is>
          <t>1/0</t>
        </is>
      </c>
      <c r="C10" s="16">
        <f>SUM(E10:AO10)</f>
        <v/>
      </c>
      <c r="E10" s="16">
        <f>1*(E$3=MeseVendita)</f>
        <v/>
      </c>
      <c r="F10" s="16">
        <f>1*(F$3=MeseVendita)</f>
        <v/>
      </c>
      <c r="G10" s="16">
        <f>1*(G$3=MeseVendita)</f>
        <v/>
      </c>
      <c r="H10" s="16">
        <f>1*(H$3=MeseVendita)</f>
        <v/>
      </c>
      <c r="I10" s="16">
        <f>1*(I$3=MeseVendita)</f>
        <v/>
      </c>
      <c r="J10" s="16">
        <f>1*(J$3=MeseVendita)</f>
        <v/>
      </c>
      <c r="K10" s="16">
        <f>1*(K$3=MeseVendita)</f>
        <v/>
      </c>
      <c r="L10" s="16">
        <f>1*(L$3=MeseVendita)</f>
        <v/>
      </c>
      <c r="M10" s="16">
        <f>1*(M$3=MeseVendita)</f>
        <v/>
      </c>
      <c r="N10" s="16">
        <f>1*(N$3=MeseVendita)</f>
        <v/>
      </c>
      <c r="O10" s="16">
        <f>1*(O$3=MeseVendita)</f>
        <v/>
      </c>
      <c r="P10" s="16">
        <f>1*(P$3=MeseVendita)</f>
        <v/>
      </c>
      <c r="Q10" s="16">
        <f>1*(Q$3=MeseVendita)</f>
        <v/>
      </c>
      <c r="R10" s="16">
        <f>1*(R$3=MeseVendita)</f>
        <v/>
      </c>
      <c r="S10" s="16">
        <f>1*(S$3=MeseVendita)</f>
        <v/>
      </c>
      <c r="T10" s="16">
        <f>1*(T$3=MeseVendita)</f>
        <v/>
      </c>
      <c r="U10" s="16">
        <f>1*(U$3=MeseVendita)</f>
        <v/>
      </c>
      <c r="V10" s="16">
        <f>1*(V$3=MeseVendita)</f>
        <v/>
      </c>
      <c r="W10" s="16">
        <f>1*(W$3=MeseVendita)</f>
        <v/>
      </c>
      <c r="X10" s="16">
        <f>1*(X$3=MeseVendita)</f>
        <v/>
      </c>
      <c r="Y10" s="16">
        <f>1*(Y$3=MeseVendita)</f>
        <v/>
      </c>
      <c r="Z10" s="16">
        <f>1*(Z$3=MeseVendita)</f>
        <v/>
      </c>
      <c r="AA10" s="16">
        <f>1*(AA$3=MeseVendita)</f>
        <v/>
      </c>
      <c r="AB10" s="16">
        <f>1*(AB$3=MeseVendita)</f>
        <v/>
      </c>
      <c r="AC10" s="16">
        <f>1*(AC$3=MeseVendita)</f>
        <v/>
      </c>
      <c r="AD10" s="16">
        <f>1*(AD$3=MeseVendita)</f>
        <v/>
      </c>
      <c r="AE10" s="16">
        <f>1*(AE$3=MeseVendita)</f>
        <v/>
      </c>
      <c r="AF10" s="16">
        <f>1*(AF$3=MeseVendita)</f>
        <v/>
      </c>
      <c r="AG10" s="16">
        <f>1*(AG$3=MeseVendita)</f>
        <v/>
      </c>
      <c r="AH10" s="16">
        <f>1*(AH$3=MeseVendita)</f>
        <v/>
      </c>
      <c r="AI10" s="16">
        <f>1*(AI$3=MeseVendita)</f>
        <v/>
      </c>
      <c r="AJ10" s="16">
        <f>1*(AJ$3=MeseVendita)</f>
        <v/>
      </c>
      <c r="AK10" s="16">
        <f>1*(AK$3=MeseVendita)</f>
        <v/>
      </c>
      <c r="AL10" s="16">
        <f>1*(AL$3=MeseVendita)</f>
        <v/>
      </c>
      <c r="AM10" s="16">
        <f>1*(AM$3=MeseVendita)</f>
        <v/>
      </c>
      <c r="AN10" s="16">
        <f>1*(AN$3=MeseVendita)</f>
        <v/>
      </c>
      <c r="AO10" s="16">
        <f>1*(AO$3=MeseVendita)</f>
        <v/>
      </c>
    </row>
    <row r="12">
      <c r="A12" s="7" t="inlineStr">
        <is>
          <t>Famiglia prezzo (lineare nel prezzo offerto)</t>
        </is>
      </c>
    </row>
    <row r="13">
      <c r="A13" s="18" t="inlineStr">
        <is>
          <t>Cauzione</t>
        </is>
      </c>
      <c r="B13" t="inlineStr">
        <is>
          <t>EUR</t>
        </is>
      </c>
      <c r="C13" s="15">
        <f>SUM(E13:AO13)</f>
        <v/>
      </c>
      <c r="E13" s="15">
        <f>-Cauzione_pct*Prezzo*1*(E$3=0)</f>
        <v/>
      </c>
      <c r="F13" s="15">
        <f>-Cauzione_pct*Prezzo*1*(F$3=0)</f>
        <v/>
      </c>
      <c r="G13" s="15">
        <f>-Cauzione_pct*Prezzo*1*(G$3=0)</f>
        <v/>
      </c>
      <c r="H13" s="15">
        <f>-Cauzione_pct*Prezzo*1*(H$3=0)</f>
        <v/>
      </c>
      <c r="I13" s="15">
        <f>-Cauzione_pct*Prezzo*1*(I$3=0)</f>
        <v/>
      </c>
      <c r="J13" s="15">
        <f>-Cauzione_pct*Prezzo*1*(J$3=0)</f>
        <v/>
      </c>
      <c r="K13" s="15">
        <f>-Cauzione_pct*Prezzo*1*(K$3=0)</f>
        <v/>
      </c>
      <c r="L13" s="15">
        <f>-Cauzione_pct*Prezzo*1*(L$3=0)</f>
        <v/>
      </c>
      <c r="M13" s="15">
        <f>-Cauzione_pct*Prezzo*1*(M$3=0)</f>
        <v/>
      </c>
      <c r="N13" s="15">
        <f>-Cauzione_pct*Prezzo*1*(N$3=0)</f>
        <v/>
      </c>
      <c r="O13" s="15">
        <f>-Cauzione_pct*Prezzo*1*(O$3=0)</f>
        <v/>
      </c>
      <c r="P13" s="15">
        <f>-Cauzione_pct*Prezzo*1*(P$3=0)</f>
        <v/>
      </c>
      <c r="Q13" s="15">
        <f>-Cauzione_pct*Prezzo*1*(Q$3=0)</f>
        <v/>
      </c>
      <c r="R13" s="15">
        <f>-Cauzione_pct*Prezzo*1*(R$3=0)</f>
        <v/>
      </c>
      <c r="S13" s="15">
        <f>-Cauzione_pct*Prezzo*1*(S$3=0)</f>
        <v/>
      </c>
      <c r="T13" s="15">
        <f>-Cauzione_pct*Prezzo*1*(T$3=0)</f>
        <v/>
      </c>
      <c r="U13" s="15">
        <f>-Cauzione_pct*Prezzo*1*(U$3=0)</f>
        <v/>
      </c>
      <c r="V13" s="15">
        <f>-Cauzione_pct*Prezzo*1*(V$3=0)</f>
        <v/>
      </c>
      <c r="W13" s="15">
        <f>-Cauzione_pct*Prezzo*1*(W$3=0)</f>
        <v/>
      </c>
      <c r="X13" s="15">
        <f>-Cauzione_pct*Prezzo*1*(X$3=0)</f>
        <v/>
      </c>
      <c r="Y13" s="15">
        <f>-Cauzione_pct*Prezzo*1*(Y$3=0)</f>
        <v/>
      </c>
      <c r="Z13" s="15">
        <f>-Cauzione_pct*Prezzo*1*(Z$3=0)</f>
        <v/>
      </c>
      <c r="AA13" s="15">
        <f>-Cauzione_pct*Prezzo*1*(AA$3=0)</f>
        <v/>
      </c>
      <c r="AB13" s="15">
        <f>-Cauzione_pct*Prezzo*1*(AB$3=0)</f>
        <v/>
      </c>
      <c r="AC13" s="15">
        <f>-Cauzione_pct*Prezzo*1*(AC$3=0)</f>
        <v/>
      </c>
      <c r="AD13" s="15">
        <f>-Cauzione_pct*Prezzo*1*(AD$3=0)</f>
        <v/>
      </c>
      <c r="AE13" s="15">
        <f>-Cauzione_pct*Prezzo*1*(AE$3=0)</f>
        <v/>
      </c>
      <c r="AF13" s="15">
        <f>-Cauzione_pct*Prezzo*1*(AF$3=0)</f>
        <v/>
      </c>
      <c r="AG13" s="15">
        <f>-Cauzione_pct*Prezzo*1*(AG$3=0)</f>
        <v/>
      </c>
      <c r="AH13" s="15">
        <f>-Cauzione_pct*Prezzo*1*(AH$3=0)</f>
        <v/>
      </c>
      <c r="AI13" s="15">
        <f>-Cauzione_pct*Prezzo*1*(AI$3=0)</f>
        <v/>
      </c>
      <c r="AJ13" s="15">
        <f>-Cauzione_pct*Prezzo*1*(AJ$3=0)</f>
        <v/>
      </c>
      <c r="AK13" s="15">
        <f>-Cauzione_pct*Prezzo*1*(AK$3=0)</f>
        <v/>
      </c>
      <c r="AL13" s="15">
        <f>-Cauzione_pct*Prezzo*1*(AL$3=0)</f>
        <v/>
      </c>
      <c r="AM13" s="15">
        <f>-Cauzione_pct*Prezzo*1*(AM$3=0)</f>
        <v/>
      </c>
      <c r="AN13" s="15">
        <f>-Cauzione_pct*Prezzo*1*(AN$3=0)</f>
        <v/>
      </c>
      <c r="AO13" s="15">
        <f>-Cauzione_pct*Prezzo*1*(AO$3=0)</f>
        <v/>
      </c>
    </row>
    <row r="14">
      <c r="A14" s="18" t="inlineStr">
        <is>
          <t>Saldo prezzo</t>
        </is>
      </c>
      <c r="B14" t="inlineStr">
        <is>
          <t>EUR</t>
        </is>
      </c>
      <c r="C14" s="15">
        <f>SUM(E14:AO14)</f>
        <v/>
      </c>
      <c r="E14" s="15">
        <f>-(1-Cauzione_pct)*Prezzo*E$5</f>
        <v/>
      </c>
      <c r="F14" s="15">
        <f>-(1-Cauzione_pct)*Prezzo*F$5</f>
        <v/>
      </c>
      <c r="G14" s="15">
        <f>-(1-Cauzione_pct)*Prezzo*G$5</f>
        <v/>
      </c>
      <c r="H14" s="15">
        <f>-(1-Cauzione_pct)*Prezzo*H$5</f>
        <v/>
      </c>
      <c r="I14" s="15">
        <f>-(1-Cauzione_pct)*Prezzo*I$5</f>
        <v/>
      </c>
      <c r="J14" s="15">
        <f>-(1-Cauzione_pct)*Prezzo*J$5</f>
        <v/>
      </c>
      <c r="K14" s="15">
        <f>-(1-Cauzione_pct)*Prezzo*K$5</f>
        <v/>
      </c>
      <c r="L14" s="15">
        <f>-(1-Cauzione_pct)*Prezzo*L$5</f>
        <v/>
      </c>
      <c r="M14" s="15">
        <f>-(1-Cauzione_pct)*Prezzo*M$5</f>
        <v/>
      </c>
      <c r="N14" s="15">
        <f>-(1-Cauzione_pct)*Prezzo*N$5</f>
        <v/>
      </c>
      <c r="O14" s="15">
        <f>-(1-Cauzione_pct)*Prezzo*O$5</f>
        <v/>
      </c>
      <c r="P14" s="15">
        <f>-(1-Cauzione_pct)*Prezzo*P$5</f>
        <v/>
      </c>
      <c r="Q14" s="15">
        <f>-(1-Cauzione_pct)*Prezzo*Q$5</f>
        <v/>
      </c>
      <c r="R14" s="15">
        <f>-(1-Cauzione_pct)*Prezzo*R$5</f>
        <v/>
      </c>
      <c r="S14" s="15">
        <f>-(1-Cauzione_pct)*Prezzo*S$5</f>
        <v/>
      </c>
      <c r="T14" s="15">
        <f>-(1-Cauzione_pct)*Prezzo*T$5</f>
        <v/>
      </c>
      <c r="U14" s="15">
        <f>-(1-Cauzione_pct)*Prezzo*U$5</f>
        <v/>
      </c>
      <c r="V14" s="15">
        <f>-(1-Cauzione_pct)*Prezzo*V$5</f>
        <v/>
      </c>
      <c r="W14" s="15">
        <f>-(1-Cauzione_pct)*Prezzo*W$5</f>
        <v/>
      </c>
      <c r="X14" s="15">
        <f>-(1-Cauzione_pct)*Prezzo*X$5</f>
        <v/>
      </c>
      <c r="Y14" s="15">
        <f>-(1-Cauzione_pct)*Prezzo*Y$5</f>
        <v/>
      </c>
      <c r="Z14" s="15">
        <f>-(1-Cauzione_pct)*Prezzo*Z$5</f>
        <v/>
      </c>
      <c r="AA14" s="15">
        <f>-(1-Cauzione_pct)*Prezzo*AA$5</f>
        <v/>
      </c>
      <c r="AB14" s="15">
        <f>-(1-Cauzione_pct)*Prezzo*AB$5</f>
        <v/>
      </c>
      <c r="AC14" s="15">
        <f>-(1-Cauzione_pct)*Prezzo*AC$5</f>
        <v/>
      </c>
      <c r="AD14" s="15">
        <f>-(1-Cauzione_pct)*Prezzo*AD$5</f>
        <v/>
      </c>
      <c r="AE14" s="15">
        <f>-(1-Cauzione_pct)*Prezzo*AE$5</f>
        <v/>
      </c>
      <c r="AF14" s="15">
        <f>-(1-Cauzione_pct)*Prezzo*AF$5</f>
        <v/>
      </c>
      <c r="AG14" s="15">
        <f>-(1-Cauzione_pct)*Prezzo*AG$5</f>
        <v/>
      </c>
      <c r="AH14" s="15">
        <f>-(1-Cauzione_pct)*Prezzo*AH$5</f>
        <v/>
      </c>
      <c r="AI14" s="15">
        <f>-(1-Cauzione_pct)*Prezzo*AI$5</f>
        <v/>
      </c>
      <c r="AJ14" s="15">
        <f>-(1-Cauzione_pct)*Prezzo*AJ$5</f>
        <v/>
      </c>
      <c r="AK14" s="15">
        <f>-(1-Cauzione_pct)*Prezzo*AK$5</f>
        <v/>
      </c>
      <c r="AL14" s="15">
        <f>-(1-Cauzione_pct)*Prezzo*AL$5</f>
        <v/>
      </c>
      <c r="AM14" s="15">
        <f>-(1-Cauzione_pct)*Prezzo*AM$5</f>
        <v/>
      </c>
      <c r="AN14" s="15">
        <f>-(1-Cauzione_pct)*Prezzo*AN$5</f>
        <v/>
      </c>
      <c r="AO14" s="15">
        <f>-(1-Cauzione_pct)*Prezzo*AO$5</f>
        <v/>
      </c>
    </row>
    <row r="15">
      <c r="A15" s="18" t="inlineStr">
        <is>
          <t>Imposta di registro</t>
        </is>
      </c>
      <c r="B15" t="inlineStr">
        <is>
          <t>EUR</t>
        </is>
      </c>
      <c r="C15" s="15">
        <f>SUM(E15:AO15)</f>
        <v/>
      </c>
      <c r="E15" s="15">
        <f>-Registro_pct*Prezzo*E$5</f>
        <v/>
      </c>
      <c r="F15" s="15">
        <f>-Registro_pct*Prezzo*F$5</f>
        <v/>
      </c>
      <c r="G15" s="15">
        <f>-Registro_pct*Prezzo*G$5</f>
        <v/>
      </c>
      <c r="H15" s="15">
        <f>-Registro_pct*Prezzo*H$5</f>
        <v/>
      </c>
      <c r="I15" s="15">
        <f>-Registro_pct*Prezzo*I$5</f>
        <v/>
      </c>
      <c r="J15" s="15">
        <f>-Registro_pct*Prezzo*J$5</f>
        <v/>
      </c>
      <c r="K15" s="15">
        <f>-Registro_pct*Prezzo*K$5</f>
        <v/>
      </c>
      <c r="L15" s="15">
        <f>-Registro_pct*Prezzo*L$5</f>
        <v/>
      </c>
      <c r="M15" s="15">
        <f>-Registro_pct*Prezzo*M$5</f>
        <v/>
      </c>
      <c r="N15" s="15">
        <f>-Registro_pct*Prezzo*N$5</f>
        <v/>
      </c>
      <c r="O15" s="15">
        <f>-Registro_pct*Prezzo*O$5</f>
        <v/>
      </c>
      <c r="P15" s="15">
        <f>-Registro_pct*Prezzo*P$5</f>
        <v/>
      </c>
      <c r="Q15" s="15">
        <f>-Registro_pct*Prezzo*Q$5</f>
        <v/>
      </c>
      <c r="R15" s="15">
        <f>-Registro_pct*Prezzo*R$5</f>
        <v/>
      </c>
      <c r="S15" s="15">
        <f>-Registro_pct*Prezzo*S$5</f>
        <v/>
      </c>
      <c r="T15" s="15">
        <f>-Registro_pct*Prezzo*T$5</f>
        <v/>
      </c>
      <c r="U15" s="15">
        <f>-Registro_pct*Prezzo*U$5</f>
        <v/>
      </c>
      <c r="V15" s="15">
        <f>-Registro_pct*Prezzo*V$5</f>
        <v/>
      </c>
      <c r="W15" s="15">
        <f>-Registro_pct*Prezzo*W$5</f>
        <v/>
      </c>
      <c r="X15" s="15">
        <f>-Registro_pct*Prezzo*X$5</f>
        <v/>
      </c>
      <c r="Y15" s="15">
        <f>-Registro_pct*Prezzo*Y$5</f>
        <v/>
      </c>
      <c r="Z15" s="15">
        <f>-Registro_pct*Prezzo*Z$5</f>
        <v/>
      </c>
      <c r="AA15" s="15">
        <f>-Registro_pct*Prezzo*AA$5</f>
        <v/>
      </c>
      <c r="AB15" s="15">
        <f>-Registro_pct*Prezzo*AB$5</f>
        <v/>
      </c>
      <c r="AC15" s="15">
        <f>-Registro_pct*Prezzo*AC$5</f>
        <v/>
      </c>
      <c r="AD15" s="15">
        <f>-Registro_pct*Prezzo*AD$5</f>
        <v/>
      </c>
      <c r="AE15" s="15">
        <f>-Registro_pct*Prezzo*AE$5</f>
        <v/>
      </c>
      <c r="AF15" s="15">
        <f>-Registro_pct*Prezzo*AF$5</f>
        <v/>
      </c>
      <c r="AG15" s="15">
        <f>-Registro_pct*Prezzo*AG$5</f>
        <v/>
      </c>
      <c r="AH15" s="15">
        <f>-Registro_pct*Prezzo*AH$5</f>
        <v/>
      </c>
      <c r="AI15" s="15">
        <f>-Registro_pct*Prezzo*AI$5</f>
        <v/>
      </c>
      <c r="AJ15" s="15">
        <f>-Registro_pct*Prezzo*AJ$5</f>
        <v/>
      </c>
      <c r="AK15" s="15">
        <f>-Registro_pct*Prezzo*AK$5</f>
        <v/>
      </c>
      <c r="AL15" s="15">
        <f>-Registro_pct*Prezzo*AL$5</f>
        <v/>
      </c>
      <c r="AM15" s="15">
        <f>-Registro_pct*Prezzo*AM$5</f>
        <v/>
      </c>
      <c r="AN15" s="15">
        <f>-Registro_pct*Prezzo*AN$5</f>
        <v/>
      </c>
      <c r="AO15" s="15">
        <f>-Registro_pct*Prezzo*AO$5</f>
        <v/>
      </c>
    </row>
    <row r="16">
      <c r="A16" s="7" t="inlineStr">
        <is>
          <t>Totale famiglia prezzo</t>
        </is>
      </c>
      <c r="B16" t="inlineStr">
        <is>
          <t>EUR</t>
        </is>
      </c>
      <c r="C16" s="20">
        <f>SUM(E16:AO16)</f>
        <v/>
      </c>
      <c r="E16" s="21">
        <f>E13+E14+E15</f>
        <v/>
      </c>
      <c r="F16" s="21">
        <f>F13+F14+F15</f>
        <v/>
      </c>
      <c r="G16" s="21">
        <f>G13+G14+G15</f>
        <v/>
      </c>
      <c r="H16" s="21">
        <f>H13+H14+H15</f>
        <v/>
      </c>
      <c r="I16" s="21">
        <f>I13+I14+I15</f>
        <v/>
      </c>
      <c r="J16" s="21">
        <f>J13+J14+J15</f>
        <v/>
      </c>
      <c r="K16" s="21">
        <f>K13+K14+K15</f>
        <v/>
      </c>
      <c r="L16" s="21">
        <f>L13+L14+L15</f>
        <v/>
      </c>
      <c r="M16" s="21">
        <f>M13+M14+M15</f>
        <v/>
      </c>
      <c r="N16" s="21">
        <f>N13+N14+N15</f>
        <v/>
      </c>
      <c r="O16" s="21">
        <f>O13+O14+O15</f>
        <v/>
      </c>
      <c r="P16" s="21">
        <f>P13+P14+P15</f>
        <v/>
      </c>
      <c r="Q16" s="21">
        <f>Q13+Q14+Q15</f>
        <v/>
      </c>
      <c r="R16" s="21">
        <f>R13+R14+R15</f>
        <v/>
      </c>
      <c r="S16" s="21">
        <f>S13+S14+S15</f>
        <v/>
      </c>
      <c r="T16" s="21">
        <f>T13+T14+T15</f>
        <v/>
      </c>
      <c r="U16" s="21">
        <f>U13+U14+U15</f>
        <v/>
      </c>
      <c r="V16" s="21">
        <f>V13+V14+V15</f>
        <v/>
      </c>
      <c r="W16" s="21">
        <f>W13+W14+W15</f>
        <v/>
      </c>
      <c r="X16" s="21">
        <f>X13+X14+X15</f>
        <v/>
      </c>
      <c r="Y16" s="21">
        <f>Y13+Y14+Y15</f>
        <v/>
      </c>
      <c r="Z16" s="21">
        <f>Z13+Z14+Z15</f>
        <v/>
      </c>
      <c r="AA16" s="21">
        <f>AA13+AA14+AA15</f>
        <v/>
      </c>
      <c r="AB16" s="21">
        <f>AB13+AB14+AB15</f>
        <v/>
      </c>
      <c r="AC16" s="21">
        <f>AC13+AC14+AC15</f>
        <v/>
      </c>
      <c r="AD16" s="21">
        <f>AD13+AD14+AD15</f>
        <v/>
      </c>
      <c r="AE16" s="21">
        <f>AE13+AE14+AE15</f>
        <v/>
      </c>
      <c r="AF16" s="21">
        <f>AF13+AF14+AF15</f>
        <v/>
      </c>
      <c r="AG16" s="21">
        <f>AG13+AG14+AG15</f>
        <v/>
      </c>
      <c r="AH16" s="21">
        <f>AH13+AH14+AH15</f>
        <v/>
      </c>
      <c r="AI16" s="21">
        <f>AI13+AI14+AI15</f>
        <v/>
      </c>
      <c r="AJ16" s="21">
        <f>AJ13+AJ14+AJ15</f>
        <v/>
      </c>
      <c r="AK16" s="21">
        <f>AK13+AK14+AK15</f>
        <v/>
      </c>
      <c r="AL16" s="21">
        <f>AL13+AL14+AL15</f>
        <v/>
      </c>
      <c r="AM16" s="21">
        <f>AM13+AM14+AM15</f>
        <v/>
      </c>
      <c r="AN16" s="21">
        <f>AN13+AN14+AN15</f>
        <v/>
      </c>
      <c r="AO16" s="21">
        <f>AO13+AO14+AO15</f>
        <v/>
      </c>
    </row>
    <row r="18">
      <c r="A18" s="7" t="inlineStr">
        <is>
          <t>Altri costi</t>
        </is>
      </c>
    </row>
    <row r="19">
      <c r="A19" s="18" t="inlineStr">
        <is>
          <t>Imposte fisse e spese di trasferimento</t>
        </is>
      </c>
      <c r="B19" t="inlineStr">
        <is>
          <t>EUR</t>
        </is>
      </c>
      <c r="C19" s="15">
        <f>SUM(E19:AO19)</f>
        <v/>
      </c>
      <c r="E19" s="15">
        <f>-(ImposteFisse+SpeseTrasf)*E$5</f>
        <v/>
      </c>
      <c r="F19" s="15">
        <f>-(ImposteFisse+SpeseTrasf)*F$5</f>
        <v/>
      </c>
      <c r="G19" s="15">
        <f>-(ImposteFisse+SpeseTrasf)*G$5</f>
        <v/>
      </c>
      <c r="H19" s="15">
        <f>-(ImposteFisse+SpeseTrasf)*H$5</f>
        <v/>
      </c>
      <c r="I19" s="15">
        <f>-(ImposteFisse+SpeseTrasf)*I$5</f>
        <v/>
      </c>
      <c r="J19" s="15">
        <f>-(ImposteFisse+SpeseTrasf)*J$5</f>
        <v/>
      </c>
      <c r="K19" s="15">
        <f>-(ImposteFisse+SpeseTrasf)*K$5</f>
        <v/>
      </c>
      <c r="L19" s="15">
        <f>-(ImposteFisse+SpeseTrasf)*L$5</f>
        <v/>
      </c>
      <c r="M19" s="15">
        <f>-(ImposteFisse+SpeseTrasf)*M$5</f>
        <v/>
      </c>
      <c r="N19" s="15">
        <f>-(ImposteFisse+SpeseTrasf)*N$5</f>
        <v/>
      </c>
      <c r="O19" s="15">
        <f>-(ImposteFisse+SpeseTrasf)*O$5</f>
        <v/>
      </c>
      <c r="P19" s="15">
        <f>-(ImposteFisse+SpeseTrasf)*P$5</f>
        <v/>
      </c>
      <c r="Q19" s="15">
        <f>-(ImposteFisse+SpeseTrasf)*Q$5</f>
        <v/>
      </c>
      <c r="R19" s="15">
        <f>-(ImposteFisse+SpeseTrasf)*R$5</f>
        <v/>
      </c>
      <c r="S19" s="15">
        <f>-(ImposteFisse+SpeseTrasf)*S$5</f>
        <v/>
      </c>
      <c r="T19" s="15">
        <f>-(ImposteFisse+SpeseTrasf)*T$5</f>
        <v/>
      </c>
      <c r="U19" s="15">
        <f>-(ImposteFisse+SpeseTrasf)*U$5</f>
        <v/>
      </c>
      <c r="V19" s="15">
        <f>-(ImposteFisse+SpeseTrasf)*V$5</f>
        <v/>
      </c>
      <c r="W19" s="15">
        <f>-(ImposteFisse+SpeseTrasf)*W$5</f>
        <v/>
      </c>
      <c r="X19" s="15">
        <f>-(ImposteFisse+SpeseTrasf)*X$5</f>
        <v/>
      </c>
      <c r="Y19" s="15">
        <f>-(ImposteFisse+SpeseTrasf)*Y$5</f>
        <v/>
      </c>
      <c r="Z19" s="15">
        <f>-(ImposteFisse+SpeseTrasf)*Z$5</f>
        <v/>
      </c>
      <c r="AA19" s="15">
        <f>-(ImposteFisse+SpeseTrasf)*AA$5</f>
        <v/>
      </c>
      <c r="AB19" s="15">
        <f>-(ImposteFisse+SpeseTrasf)*AB$5</f>
        <v/>
      </c>
      <c r="AC19" s="15">
        <f>-(ImposteFisse+SpeseTrasf)*AC$5</f>
        <v/>
      </c>
      <c r="AD19" s="15">
        <f>-(ImposteFisse+SpeseTrasf)*AD$5</f>
        <v/>
      </c>
      <c r="AE19" s="15">
        <f>-(ImposteFisse+SpeseTrasf)*AE$5</f>
        <v/>
      </c>
      <c r="AF19" s="15">
        <f>-(ImposteFisse+SpeseTrasf)*AF$5</f>
        <v/>
      </c>
      <c r="AG19" s="15">
        <f>-(ImposteFisse+SpeseTrasf)*AG$5</f>
        <v/>
      </c>
      <c r="AH19" s="15">
        <f>-(ImposteFisse+SpeseTrasf)*AH$5</f>
        <v/>
      </c>
      <c r="AI19" s="15">
        <f>-(ImposteFisse+SpeseTrasf)*AI$5</f>
        <v/>
      </c>
      <c r="AJ19" s="15">
        <f>-(ImposteFisse+SpeseTrasf)*AJ$5</f>
        <v/>
      </c>
      <c r="AK19" s="15">
        <f>-(ImposteFisse+SpeseTrasf)*AK$5</f>
        <v/>
      </c>
      <c r="AL19" s="15">
        <f>-(ImposteFisse+SpeseTrasf)*AL$5</f>
        <v/>
      </c>
      <c r="AM19" s="15">
        <f>-(ImposteFisse+SpeseTrasf)*AM$5</f>
        <v/>
      </c>
      <c r="AN19" s="15">
        <f>-(ImposteFisse+SpeseTrasf)*AN$5</f>
        <v/>
      </c>
      <c r="AO19" s="15">
        <f>-(ImposteFisse+SpeseTrasf)*AO$5</f>
        <v/>
      </c>
    </row>
    <row r="20">
      <c r="A20" s="18" t="inlineStr">
        <is>
          <t>Arretrati condominiali</t>
        </is>
      </c>
      <c r="B20" t="inlineStr">
        <is>
          <t>EUR</t>
        </is>
      </c>
      <c r="C20" s="15">
        <f>SUM(E20:AO20)</f>
        <v/>
      </c>
      <c r="E20" s="15">
        <f>-ArretratiCond*E$6</f>
        <v/>
      </c>
      <c r="F20" s="15">
        <f>-ArretratiCond*F$6</f>
        <v/>
      </c>
      <c r="G20" s="15">
        <f>-ArretratiCond*G$6</f>
        <v/>
      </c>
      <c r="H20" s="15">
        <f>-ArretratiCond*H$6</f>
        <v/>
      </c>
      <c r="I20" s="15">
        <f>-ArretratiCond*I$6</f>
        <v/>
      </c>
      <c r="J20" s="15">
        <f>-ArretratiCond*J$6</f>
        <v/>
      </c>
      <c r="K20" s="15">
        <f>-ArretratiCond*K$6</f>
        <v/>
      </c>
      <c r="L20" s="15">
        <f>-ArretratiCond*L$6</f>
        <v/>
      </c>
      <c r="M20" s="15">
        <f>-ArretratiCond*M$6</f>
        <v/>
      </c>
      <c r="N20" s="15">
        <f>-ArretratiCond*N$6</f>
        <v/>
      </c>
      <c r="O20" s="15">
        <f>-ArretratiCond*O$6</f>
        <v/>
      </c>
      <c r="P20" s="15">
        <f>-ArretratiCond*P$6</f>
        <v/>
      </c>
      <c r="Q20" s="15">
        <f>-ArretratiCond*Q$6</f>
        <v/>
      </c>
      <c r="R20" s="15">
        <f>-ArretratiCond*R$6</f>
        <v/>
      </c>
      <c r="S20" s="15">
        <f>-ArretratiCond*S$6</f>
        <v/>
      </c>
      <c r="T20" s="15">
        <f>-ArretratiCond*T$6</f>
        <v/>
      </c>
      <c r="U20" s="15">
        <f>-ArretratiCond*U$6</f>
        <v/>
      </c>
      <c r="V20" s="15">
        <f>-ArretratiCond*V$6</f>
        <v/>
      </c>
      <c r="W20" s="15">
        <f>-ArretratiCond*W$6</f>
        <v/>
      </c>
      <c r="X20" s="15">
        <f>-ArretratiCond*X$6</f>
        <v/>
      </c>
      <c r="Y20" s="15">
        <f>-ArretratiCond*Y$6</f>
        <v/>
      </c>
      <c r="Z20" s="15">
        <f>-ArretratiCond*Z$6</f>
        <v/>
      </c>
      <c r="AA20" s="15">
        <f>-ArretratiCond*AA$6</f>
        <v/>
      </c>
      <c r="AB20" s="15">
        <f>-ArretratiCond*AB$6</f>
        <v/>
      </c>
      <c r="AC20" s="15">
        <f>-ArretratiCond*AC$6</f>
        <v/>
      </c>
      <c r="AD20" s="15">
        <f>-ArretratiCond*AD$6</f>
        <v/>
      </c>
      <c r="AE20" s="15">
        <f>-ArretratiCond*AE$6</f>
        <v/>
      </c>
      <c r="AF20" s="15">
        <f>-ArretratiCond*AF$6</f>
        <v/>
      </c>
      <c r="AG20" s="15">
        <f>-ArretratiCond*AG$6</f>
        <v/>
      </c>
      <c r="AH20" s="15">
        <f>-ArretratiCond*AH$6</f>
        <v/>
      </c>
      <c r="AI20" s="15">
        <f>-ArretratiCond*AI$6</f>
        <v/>
      </c>
      <c r="AJ20" s="15">
        <f>-ArretratiCond*AJ$6</f>
        <v/>
      </c>
      <c r="AK20" s="15">
        <f>-ArretratiCond*AK$6</f>
        <v/>
      </c>
      <c r="AL20" s="15">
        <f>-ArretratiCond*AL$6</f>
        <v/>
      </c>
      <c r="AM20" s="15">
        <f>-ArretratiCond*AM$6</f>
        <v/>
      </c>
      <c r="AN20" s="15">
        <f>-ArretratiCond*AN$6</f>
        <v/>
      </c>
      <c r="AO20" s="15">
        <f>-ArretratiCond*AO$6</f>
        <v/>
      </c>
    </row>
    <row r="21">
      <c r="A21" s="18" t="inlineStr">
        <is>
          <t>Condominio ordinario</t>
        </is>
      </c>
      <c r="B21" t="inlineStr">
        <is>
          <t>EUR</t>
        </is>
      </c>
      <c r="C21" s="15">
        <f>SUM(E21:AO21)</f>
        <v/>
      </c>
      <c r="E21" s="15">
        <f>-CondAnnuo/12*E$7</f>
        <v/>
      </c>
      <c r="F21" s="15">
        <f>-CondAnnuo/12*F$7</f>
        <v/>
      </c>
      <c r="G21" s="15">
        <f>-CondAnnuo/12*G$7</f>
        <v/>
      </c>
      <c r="H21" s="15">
        <f>-CondAnnuo/12*H$7</f>
        <v/>
      </c>
      <c r="I21" s="15">
        <f>-CondAnnuo/12*I$7</f>
        <v/>
      </c>
      <c r="J21" s="15">
        <f>-CondAnnuo/12*J$7</f>
        <v/>
      </c>
      <c r="K21" s="15">
        <f>-CondAnnuo/12*K$7</f>
        <v/>
      </c>
      <c r="L21" s="15">
        <f>-CondAnnuo/12*L$7</f>
        <v/>
      </c>
      <c r="M21" s="15">
        <f>-CondAnnuo/12*M$7</f>
        <v/>
      </c>
      <c r="N21" s="15">
        <f>-CondAnnuo/12*N$7</f>
        <v/>
      </c>
      <c r="O21" s="15">
        <f>-CondAnnuo/12*O$7</f>
        <v/>
      </c>
      <c r="P21" s="15">
        <f>-CondAnnuo/12*P$7</f>
        <v/>
      </c>
      <c r="Q21" s="15">
        <f>-CondAnnuo/12*Q$7</f>
        <v/>
      </c>
      <c r="R21" s="15">
        <f>-CondAnnuo/12*R$7</f>
        <v/>
      </c>
      <c r="S21" s="15">
        <f>-CondAnnuo/12*S$7</f>
        <v/>
      </c>
      <c r="T21" s="15">
        <f>-CondAnnuo/12*T$7</f>
        <v/>
      </c>
      <c r="U21" s="15">
        <f>-CondAnnuo/12*U$7</f>
        <v/>
      </c>
      <c r="V21" s="15">
        <f>-CondAnnuo/12*V$7</f>
        <v/>
      </c>
      <c r="W21" s="15">
        <f>-CondAnnuo/12*W$7</f>
        <v/>
      </c>
      <c r="X21" s="15">
        <f>-CondAnnuo/12*X$7</f>
        <v/>
      </c>
      <c r="Y21" s="15">
        <f>-CondAnnuo/12*Y$7</f>
        <v/>
      </c>
      <c r="Z21" s="15">
        <f>-CondAnnuo/12*Z$7</f>
        <v/>
      </c>
      <c r="AA21" s="15">
        <f>-CondAnnuo/12*AA$7</f>
        <v/>
      </c>
      <c r="AB21" s="15">
        <f>-CondAnnuo/12*AB$7</f>
        <v/>
      </c>
      <c r="AC21" s="15">
        <f>-CondAnnuo/12*AC$7</f>
        <v/>
      </c>
      <c r="AD21" s="15">
        <f>-CondAnnuo/12*AD$7</f>
        <v/>
      </c>
      <c r="AE21" s="15">
        <f>-CondAnnuo/12*AE$7</f>
        <v/>
      </c>
      <c r="AF21" s="15">
        <f>-CondAnnuo/12*AF$7</f>
        <v/>
      </c>
      <c r="AG21" s="15">
        <f>-CondAnnuo/12*AG$7</f>
        <v/>
      </c>
      <c r="AH21" s="15">
        <f>-CondAnnuo/12*AH$7</f>
        <v/>
      </c>
      <c r="AI21" s="15">
        <f>-CondAnnuo/12*AI$7</f>
        <v/>
      </c>
      <c r="AJ21" s="15">
        <f>-CondAnnuo/12*AJ$7</f>
        <v/>
      </c>
      <c r="AK21" s="15">
        <f>-CondAnnuo/12*AK$7</f>
        <v/>
      </c>
      <c r="AL21" s="15">
        <f>-CondAnnuo/12*AL$7</f>
        <v/>
      </c>
      <c r="AM21" s="15">
        <f>-CondAnnuo/12*AM$7</f>
        <v/>
      </c>
      <c r="AN21" s="15">
        <f>-CondAnnuo/12*AN$7</f>
        <v/>
      </c>
      <c r="AO21" s="15">
        <f>-CondAnnuo/12*AO$7</f>
        <v/>
      </c>
    </row>
    <row r="22">
      <c r="A22" s="18" t="inlineStr">
        <is>
          <t>IMU</t>
        </is>
      </c>
      <c r="B22" t="inlineStr">
        <is>
          <t>EUR</t>
        </is>
      </c>
      <c r="C22" s="15">
        <f>SUM(E22:AO22)</f>
        <v/>
      </c>
      <c r="E22" s="15">
        <f>-ImuAnnua/12*E$7</f>
        <v/>
      </c>
      <c r="F22" s="15">
        <f>-ImuAnnua/12*F$7</f>
        <v/>
      </c>
      <c r="G22" s="15">
        <f>-ImuAnnua/12*G$7</f>
        <v/>
      </c>
      <c r="H22" s="15">
        <f>-ImuAnnua/12*H$7</f>
        <v/>
      </c>
      <c r="I22" s="15">
        <f>-ImuAnnua/12*I$7</f>
        <v/>
      </c>
      <c r="J22" s="15">
        <f>-ImuAnnua/12*J$7</f>
        <v/>
      </c>
      <c r="K22" s="15">
        <f>-ImuAnnua/12*K$7</f>
        <v/>
      </c>
      <c r="L22" s="15">
        <f>-ImuAnnua/12*L$7</f>
        <v/>
      </c>
      <c r="M22" s="15">
        <f>-ImuAnnua/12*M$7</f>
        <v/>
      </c>
      <c r="N22" s="15">
        <f>-ImuAnnua/12*N$7</f>
        <v/>
      </c>
      <c r="O22" s="15">
        <f>-ImuAnnua/12*O$7</f>
        <v/>
      </c>
      <c r="P22" s="15">
        <f>-ImuAnnua/12*P$7</f>
        <v/>
      </c>
      <c r="Q22" s="15">
        <f>-ImuAnnua/12*Q$7</f>
        <v/>
      </c>
      <c r="R22" s="15">
        <f>-ImuAnnua/12*R$7</f>
        <v/>
      </c>
      <c r="S22" s="15">
        <f>-ImuAnnua/12*S$7</f>
        <v/>
      </c>
      <c r="T22" s="15">
        <f>-ImuAnnua/12*T$7</f>
        <v/>
      </c>
      <c r="U22" s="15">
        <f>-ImuAnnua/12*U$7</f>
        <v/>
      </c>
      <c r="V22" s="15">
        <f>-ImuAnnua/12*V$7</f>
        <v/>
      </c>
      <c r="W22" s="15">
        <f>-ImuAnnua/12*W$7</f>
        <v/>
      </c>
      <c r="X22" s="15">
        <f>-ImuAnnua/12*X$7</f>
        <v/>
      </c>
      <c r="Y22" s="15">
        <f>-ImuAnnua/12*Y$7</f>
        <v/>
      </c>
      <c r="Z22" s="15">
        <f>-ImuAnnua/12*Z$7</f>
        <v/>
      </c>
      <c r="AA22" s="15">
        <f>-ImuAnnua/12*AA$7</f>
        <v/>
      </c>
      <c r="AB22" s="15">
        <f>-ImuAnnua/12*AB$7</f>
        <v/>
      </c>
      <c r="AC22" s="15">
        <f>-ImuAnnua/12*AC$7</f>
        <v/>
      </c>
      <c r="AD22" s="15">
        <f>-ImuAnnua/12*AD$7</f>
        <v/>
      </c>
      <c r="AE22" s="15">
        <f>-ImuAnnua/12*AE$7</f>
        <v/>
      </c>
      <c r="AF22" s="15">
        <f>-ImuAnnua/12*AF$7</f>
        <v/>
      </c>
      <c r="AG22" s="15">
        <f>-ImuAnnua/12*AG$7</f>
        <v/>
      </c>
      <c r="AH22" s="15">
        <f>-ImuAnnua/12*AH$7</f>
        <v/>
      </c>
      <c r="AI22" s="15">
        <f>-ImuAnnua/12*AI$7</f>
        <v/>
      </c>
      <c r="AJ22" s="15">
        <f>-ImuAnnua/12*AJ$7</f>
        <v/>
      </c>
      <c r="AK22" s="15">
        <f>-ImuAnnua/12*AK$7</f>
        <v/>
      </c>
      <c r="AL22" s="15">
        <f>-ImuAnnua/12*AL$7</f>
        <v/>
      </c>
      <c r="AM22" s="15">
        <f>-ImuAnnua/12*AM$7</f>
        <v/>
      </c>
      <c r="AN22" s="15">
        <f>-ImuAnnua/12*AN$7</f>
        <v/>
      </c>
      <c r="AO22" s="15">
        <f>-ImuAnnua/12*AO$7</f>
        <v/>
      </c>
    </row>
    <row r="23">
      <c r="A23" s="18" t="inlineStr">
        <is>
          <t>Utenze e assicurazione</t>
        </is>
      </c>
      <c r="B23" t="inlineStr">
        <is>
          <t>EUR</t>
        </is>
      </c>
      <c r="C23" s="15">
        <f>SUM(E23:AO23)</f>
        <v/>
      </c>
      <c r="E23" s="15">
        <f>-UtenzeMese*E$7</f>
        <v/>
      </c>
      <c r="F23" s="15">
        <f>-UtenzeMese*F$7</f>
        <v/>
      </c>
      <c r="G23" s="15">
        <f>-UtenzeMese*G$7</f>
        <v/>
      </c>
      <c r="H23" s="15">
        <f>-UtenzeMese*H$7</f>
        <v/>
      </c>
      <c r="I23" s="15">
        <f>-UtenzeMese*I$7</f>
        <v/>
      </c>
      <c r="J23" s="15">
        <f>-UtenzeMese*J$7</f>
        <v/>
      </c>
      <c r="K23" s="15">
        <f>-UtenzeMese*K$7</f>
        <v/>
      </c>
      <c r="L23" s="15">
        <f>-UtenzeMese*L$7</f>
        <v/>
      </c>
      <c r="M23" s="15">
        <f>-UtenzeMese*M$7</f>
        <v/>
      </c>
      <c r="N23" s="15">
        <f>-UtenzeMese*N$7</f>
        <v/>
      </c>
      <c r="O23" s="15">
        <f>-UtenzeMese*O$7</f>
        <v/>
      </c>
      <c r="P23" s="15">
        <f>-UtenzeMese*P$7</f>
        <v/>
      </c>
      <c r="Q23" s="15">
        <f>-UtenzeMese*Q$7</f>
        <v/>
      </c>
      <c r="R23" s="15">
        <f>-UtenzeMese*R$7</f>
        <v/>
      </c>
      <c r="S23" s="15">
        <f>-UtenzeMese*S$7</f>
        <v/>
      </c>
      <c r="T23" s="15">
        <f>-UtenzeMese*T$7</f>
        <v/>
      </c>
      <c r="U23" s="15">
        <f>-UtenzeMese*U$7</f>
        <v/>
      </c>
      <c r="V23" s="15">
        <f>-UtenzeMese*V$7</f>
        <v/>
      </c>
      <c r="W23" s="15">
        <f>-UtenzeMese*W$7</f>
        <v/>
      </c>
      <c r="X23" s="15">
        <f>-UtenzeMese*X$7</f>
        <v/>
      </c>
      <c r="Y23" s="15">
        <f>-UtenzeMese*Y$7</f>
        <v/>
      </c>
      <c r="Z23" s="15">
        <f>-UtenzeMese*Z$7</f>
        <v/>
      </c>
      <c r="AA23" s="15">
        <f>-UtenzeMese*AA$7</f>
        <v/>
      </c>
      <c r="AB23" s="15">
        <f>-UtenzeMese*AB$7</f>
        <v/>
      </c>
      <c r="AC23" s="15">
        <f>-UtenzeMese*AC$7</f>
        <v/>
      </c>
      <c r="AD23" s="15">
        <f>-UtenzeMese*AD$7</f>
        <v/>
      </c>
      <c r="AE23" s="15">
        <f>-UtenzeMese*AE$7</f>
        <v/>
      </c>
      <c r="AF23" s="15">
        <f>-UtenzeMese*AF$7</f>
        <v/>
      </c>
      <c r="AG23" s="15">
        <f>-UtenzeMese*AG$7</f>
        <v/>
      </c>
      <c r="AH23" s="15">
        <f>-UtenzeMese*AH$7</f>
        <v/>
      </c>
      <c r="AI23" s="15">
        <f>-UtenzeMese*AI$7</f>
        <v/>
      </c>
      <c r="AJ23" s="15">
        <f>-UtenzeMese*AJ$7</f>
        <v/>
      </c>
      <c r="AK23" s="15">
        <f>-UtenzeMese*AK$7</f>
        <v/>
      </c>
      <c r="AL23" s="15">
        <f>-UtenzeMese*AL$7</f>
        <v/>
      </c>
      <c r="AM23" s="15">
        <f>-UtenzeMese*AM$7</f>
        <v/>
      </c>
      <c r="AN23" s="15">
        <f>-UtenzeMese*AN$7</f>
        <v/>
      </c>
      <c r="AO23" s="15">
        <f>-UtenzeMese*AO$7</f>
        <v/>
      </c>
    </row>
    <row r="24">
      <c r="A24" s="18" t="inlineStr">
        <is>
          <t>Sanatoria e catasto</t>
        </is>
      </c>
      <c r="B24" t="inlineStr">
        <is>
          <t>EUR</t>
        </is>
      </c>
      <c r="C24" s="15">
        <f>SUM(E24:AO24)</f>
        <v/>
      </c>
      <c r="E24" s="15">
        <f>-Regolarizz*E$9</f>
        <v/>
      </c>
      <c r="F24" s="15">
        <f>-Regolarizz*F$9</f>
        <v/>
      </c>
      <c r="G24" s="15">
        <f>-Regolarizz*G$9</f>
        <v/>
      </c>
      <c r="H24" s="15">
        <f>-Regolarizz*H$9</f>
        <v/>
      </c>
      <c r="I24" s="15">
        <f>-Regolarizz*I$9</f>
        <v/>
      </c>
      <c r="J24" s="15">
        <f>-Regolarizz*J$9</f>
        <v/>
      </c>
      <c r="K24" s="15">
        <f>-Regolarizz*K$9</f>
        <v/>
      </c>
      <c r="L24" s="15">
        <f>-Regolarizz*L$9</f>
        <v/>
      </c>
      <c r="M24" s="15">
        <f>-Regolarizz*M$9</f>
        <v/>
      </c>
      <c r="N24" s="15">
        <f>-Regolarizz*N$9</f>
        <v/>
      </c>
      <c r="O24" s="15">
        <f>-Regolarizz*O$9</f>
        <v/>
      </c>
      <c r="P24" s="15">
        <f>-Regolarizz*P$9</f>
        <v/>
      </c>
      <c r="Q24" s="15">
        <f>-Regolarizz*Q$9</f>
        <v/>
      </c>
      <c r="R24" s="15">
        <f>-Regolarizz*R$9</f>
        <v/>
      </c>
      <c r="S24" s="15">
        <f>-Regolarizz*S$9</f>
        <v/>
      </c>
      <c r="T24" s="15">
        <f>-Regolarizz*T$9</f>
        <v/>
      </c>
      <c r="U24" s="15">
        <f>-Regolarizz*U$9</f>
        <v/>
      </c>
      <c r="V24" s="15">
        <f>-Regolarizz*V$9</f>
        <v/>
      </c>
      <c r="W24" s="15">
        <f>-Regolarizz*W$9</f>
        <v/>
      </c>
      <c r="X24" s="15">
        <f>-Regolarizz*X$9</f>
        <v/>
      </c>
      <c r="Y24" s="15">
        <f>-Regolarizz*Y$9</f>
        <v/>
      </c>
      <c r="Z24" s="15">
        <f>-Regolarizz*Z$9</f>
        <v/>
      </c>
      <c r="AA24" s="15">
        <f>-Regolarizz*AA$9</f>
        <v/>
      </c>
      <c r="AB24" s="15">
        <f>-Regolarizz*AB$9</f>
        <v/>
      </c>
      <c r="AC24" s="15">
        <f>-Regolarizz*AC$9</f>
        <v/>
      </c>
      <c r="AD24" s="15">
        <f>-Regolarizz*AD$9</f>
        <v/>
      </c>
      <c r="AE24" s="15">
        <f>-Regolarizz*AE$9</f>
        <v/>
      </c>
      <c r="AF24" s="15">
        <f>-Regolarizz*AF$9</f>
        <v/>
      </c>
      <c r="AG24" s="15">
        <f>-Regolarizz*AG$9</f>
        <v/>
      </c>
      <c r="AH24" s="15">
        <f>-Regolarizz*AH$9</f>
        <v/>
      </c>
      <c r="AI24" s="15">
        <f>-Regolarizz*AI$9</f>
        <v/>
      </c>
      <c r="AJ24" s="15">
        <f>-Regolarizz*AJ$9</f>
        <v/>
      </c>
      <c r="AK24" s="15">
        <f>-Regolarizz*AK$9</f>
        <v/>
      </c>
      <c r="AL24" s="15">
        <f>-Regolarizz*AL$9</f>
        <v/>
      </c>
      <c r="AM24" s="15">
        <f>-Regolarizz*AM$9</f>
        <v/>
      </c>
      <c r="AN24" s="15">
        <f>-Regolarizz*AN$9</f>
        <v/>
      </c>
      <c r="AO24" s="15">
        <f>-Regolarizz*AO$9</f>
        <v/>
      </c>
    </row>
    <row r="25">
      <c r="A25" s="18" t="inlineStr">
        <is>
          <t>Imprevisti su impianti e parti comuni</t>
        </is>
      </c>
      <c r="B25" t="inlineStr">
        <is>
          <t>EUR</t>
        </is>
      </c>
      <c r="C25" s="15">
        <f>SUM(E25:AO25)</f>
        <v/>
      </c>
      <c r="E25" s="15">
        <f>-Ripristino/MAX(1,MesiLavori)*E$8</f>
        <v/>
      </c>
      <c r="F25" s="15">
        <f>-Ripristino/MAX(1,MesiLavori)*F$8</f>
        <v/>
      </c>
      <c r="G25" s="15">
        <f>-Ripristino/MAX(1,MesiLavori)*G$8</f>
        <v/>
      </c>
      <c r="H25" s="15">
        <f>-Ripristino/MAX(1,MesiLavori)*H$8</f>
        <v/>
      </c>
      <c r="I25" s="15">
        <f>-Ripristino/MAX(1,MesiLavori)*I$8</f>
        <v/>
      </c>
      <c r="J25" s="15">
        <f>-Ripristino/MAX(1,MesiLavori)*J$8</f>
        <v/>
      </c>
      <c r="K25" s="15">
        <f>-Ripristino/MAX(1,MesiLavori)*K$8</f>
        <v/>
      </c>
      <c r="L25" s="15">
        <f>-Ripristino/MAX(1,MesiLavori)*L$8</f>
        <v/>
      </c>
      <c r="M25" s="15">
        <f>-Ripristino/MAX(1,MesiLavori)*M$8</f>
        <v/>
      </c>
      <c r="N25" s="15">
        <f>-Ripristino/MAX(1,MesiLavori)*N$8</f>
        <v/>
      </c>
      <c r="O25" s="15">
        <f>-Ripristino/MAX(1,MesiLavori)*O$8</f>
        <v/>
      </c>
      <c r="P25" s="15">
        <f>-Ripristino/MAX(1,MesiLavori)*P$8</f>
        <v/>
      </c>
      <c r="Q25" s="15">
        <f>-Ripristino/MAX(1,MesiLavori)*Q$8</f>
        <v/>
      </c>
      <c r="R25" s="15">
        <f>-Ripristino/MAX(1,MesiLavori)*R$8</f>
        <v/>
      </c>
      <c r="S25" s="15">
        <f>-Ripristino/MAX(1,MesiLavori)*S$8</f>
        <v/>
      </c>
      <c r="T25" s="15">
        <f>-Ripristino/MAX(1,MesiLavori)*T$8</f>
        <v/>
      </c>
      <c r="U25" s="15">
        <f>-Ripristino/MAX(1,MesiLavori)*U$8</f>
        <v/>
      </c>
      <c r="V25" s="15">
        <f>-Ripristino/MAX(1,MesiLavori)*V$8</f>
        <v/>
      </c>
      <c r="W25" s="15">
        <f>-Ripristino/MAX(1,MesiLavori)*W$8</f>
        <v/>
      </c>
      <c r="X25" s="15">
        <f>-Ripristino/MAX(1,MesiLavori)*X$8</f>
        <v/>
      </c>
      <c r="Y25" s="15">
        <f>-Ripristino/MAX(1,MesiLavori)*Y$8</f>
        <v/>
      </c>
      <c r="Z25" s="15">
        <f>-Ripristino/MAX(1,MesiLavori)*Z$8</f>
        <v/>
      </c>
      <c r="AA25" s="15">
        <f>-Ripristino/MAX(1,MesiLavori)*AA$8</f>
        <v/>
      </c>
      <c r="AB25" s="15">
        <f>-Ripristino/MAX(1,MesiLavori)*AB$8</f>
        <v/>
      </c>
      <c r="AC25" s="15">
        <f>-Ripristino/MAX(1,MesiLavori)*AC$8</f>
        <v/>
      </c>
      <c r="AD25" s="15">
        <f>-Ripristino/MAX(1,MesiLavori)*AD$8</f>
        <v/>
      </c>
      <c r="AE25" s="15">
        <f>-Ripristino/MAX(1,MesiLavori)*AE$8</f>
        <v/>
      </c>
      <c r="AF25" s="15">
        <f>-Ripristino/MAX(1,MesiLavori)*AF$8</f>
        <v/>
      </c>
      <c r="AG25" s="15">
        <f>-Ripristino/MAX(1,MesiLavori)*AG$8</f>
        <v/>
      </c>
      <c r="AH25" s="15">
        <f>-Ripristino/MAX(1,MesiLavori)*AH$8</f>
        <v/>
      </c>
      <c r="AI25" s="15">
        <f>-Ripristino/MAX(1,MesiLavori)*AI$8</f>
        <v/>
      </c>
      <c r="AJ25" s="15">
        <f>-Ripristino/MAX(1,MesiLavori)*AJ$8</f>
        <v/>
      </c>
      <c r="AK25" s="15">
        <f>-Ripristino/MAX(1,MesiLavori)*AK$8</f>
        <v/>
      </c>
      <c r="AL25" s="15">
        <f>-Ripristino/MAX(1,MesiLavori)*AL$8</f>
        <v/>
      </c>
      <c r="AM25" s="15">
        <f>-Ripristino/MAX(1,MesiLavori)*AM$8</f>
        <v/>
      </c>
      <c r="AN25" s="15">
        <f>-Ripristino/MAX(1,MesiLavori)*AN$8</f>
        <v/>
      </c>
      <c r="AO25" s="15">
        <f>-Ripristino/MAX(1,MesiLavori)*AO$8</f>
        <v/>
      </c>
    </row>
    <row r="26">
      <c r="A26" s="18" t="inlineStr">
        <is>
          <t>Lavori di finitura</t>
        </is>
      </c>
      <c r="B26" t="inlineStr">
        <is>
          <t>EUR</t>
        </is>
      </c>
      <c r="C26" s="15">
        <f>SUM(E26:AO26)</f>
        <v/>
      </c>
      <c r="E26" s="15">
        <f>-LavoriTot/MAX(1,MesiLavori)*E$8</f>
        <v/>
      </c>
      <c r="F26" s="15">
        <f>-LavoriTot/MAX(1,MesiLavori)*F$8</f>
        <v/>
      </c>
      <c r="G26" s="15">
        <f>-LavoriTot/MAX(1,MesiLavori)*G$8</f>
        <v/>
      </c>
      <c r="H26" s="15">
        <f>-LavoriTot/MAX(1,MesiLavori)*H$8</f>
        <v/>
      </c>
      <c r="I26" s="15">
        <f>-LavoriTot/MAX(1,MesiLavori)*I$8</f>
        <v/>
      </c>
      <c r="J26" s="15">
        <f>-LavoriTot/MAX(1,MesiLavori)*J$8</f>
        <v/>
      </c>
      <c r="K26" s="15">
        <f>-LavoriTot/MAX(1,MesiLavori)*K$8</f>
        <v/>
      </c>
      <c r="L26" s="15">
        <f>-LavoriTot/MAX(1,MesiLavori)*L$8</f>
        <v/>
      </c>
      <c r="M26" s="15">
        <f>-LavoriTot/MAX(1,MesiLavori)*M$8</f>
        <v/>
      </c>
      <c r="N26" s="15">
        <f>-LavoriTot/MAX(1,MesiLavori)*N$8</f>
        <v/>
      </c>
      <c r="O26" s="15">
        <f>-LavoriTot/MAX(1,MesiLavori)*O$8</f>
        <v/>
      </c>
      <c r="P26" s="15">
        <f>-LavoriTot/MAX(1,MesiLavori)*P$8</f>
        <v/>
      </c>
      <c r="Q26" s="15">
        <f>-LavoriTot/MAX(1,MesiLavori)*Q$8</f>
        <v/>
      </c>
      <c r="R26" s="15">
        <f>-LavoriTot/MAX(1,MesiLavori)*R$8</f>
        <v/>
      </c>
      <c r="S26" s="15">
        <f>-LavoriTot/MAX(1,MesiLavori)*S$8</f>
        <v/>
      </c>
      <c r="T26" s="15">
        <f>-LavoriTot/MAX(1,MesiLavori)*T$8</f>
        <v/>
      </c>
      <c r="U26" s="15">
        <f>-LavoriTot/MAX(1,MesiLavori)*U$8</f>
        <v/>
      </c>
      <c r="V26" s="15">
        <f>-LavoriTot/MAX(1,MesiLavori)*V$8</f>
        <v/>
      </c>
      <c r="W26" s="15">
        <f>-LavoriTot/MAX(1,MesiLavori)*W$8</f>
        <v/>
      </c>
      <c r="X26" s="15">
        <f>-LavoriTot/MAX(1,MesiLavori)*X$8</f>
        <v/>
      </c>
      <c r="Y26" s="15">
        <f>-LavoriTot/MAX(1,MesiLavori)*Y$8</f>
        <v/>
      </c>
      <c r="Z26" s="15">
        <f>-LavoriTot/MAX(1,MesiLavori)*Z$8</f>
        <v/>
      </c>
      <c r="AA26" s="15">
        <f>-LavoriTot/MAX(1,MesiLavori)*AA$8</f>
        <v/>
      </c>
      <c r="AB26" s="15">
        <f>-LavoriTot/MAX(1,MesiLavori)*AB$8</f>
        <v/>
      </c>
      <c r="AC26" s="15">
        <f>-LavoriTot/MAX(1,MesiLavori)*AC$8</f>
        <v/>
      </c>
      <c r="AD26" s="15">
        <f>-LavoriTot/MAX(1,MesiLavori)*AD$8</f>
        <v/>
      </c>
      <c r="AE26" s="15">
        <f>-LavoriTot/MAX(1,MesiLavori)*AE$8</f>
        <v/>
      </c>
      <c r="AF26" s="15">
        <f>-LavoriTot/MAX(1,MesiLavori)*AF$8</f>
        <v/>
      </c>
      <c r="AG26" s="15">
        <f>-LavoriTot/MAX(1,MesiLavori)*AG$8</f>
        <v/>
      </c>
      <c r="AH26" s="15">
        <f>-LavoriTot/MAX(1,MesiLavori)*AH$8</f>
        <v/>
      </c>
      <c r="AI26" s="15">
        <f>-LavoriTot/MAX(1,MesiLavori)*AI$8</f>
        <v/>
      </c>
      <c r="AJ26" s="15">
        <f>-LavoriTot/MAX(1,MesiLavori)*AJ$8</f>
        <v/>
      </c>
      <c r="AK26" s="15">
        <f>-LavoriTot/MAX(1,MesiLavori)*AK$8</f>
        <v/>
      </c>
      <c r="AL26" s="15">
        <f>-LavoriTot/MAX(1,MesiLavori)*AL$8</f>
        <v/>
      </c>
      <c r="AM26" s="15">
        <f>-LavoriTot/MAX(1,MesiLavori)*AM$8</f>
        <v/>
      </c>
      <c r="AN26" s="15">
        <f>-LavoriTot/MAX(1,MesiLavori)*AN$8</f>
        <v/>
      </c>
      <c r="AO26" s="15">
        <f>-LavoriTot/MAX(1,MesiLavori)*AO$8</f>
        <v/>
      </c>
    </row>
    <row r="27">
      <c r="A27" s="7" t="inlineStr">
        <is>
          <t>Totale altri costi</t>
        </is>
      </c>
      <c r="B27" t="inlineStr">
        <is>
          <t>EUR</t>
        </is>
      </c>
      <c r="C27" s="20">
        <f>SUM(E27:AO27)</f>
        <v/>
      </c>
      <c r="E27" s="21">
        <f>SUM(E19:E26)</f>
        <v/>
      </c>
      <c r="F27" s="21">
        <f>SUM(F19:F26)</f>
        <v/>
      </c>
      <c r="G27" s="21">
        <f>SUM(G19:G26)</f>
        <v/>
      </c>
      <c r="H27" s="21">
        <f>SUM(H19:H26)</f>
        <v/>
      </c>
      <c r="I27" s="21">
        <f>SUM(I19:I26)</f>
        <v/>
      </c>
      <c r="J27" s="21">
        <f>SUM(J19:J26)</f>
        <v/>
      </c>
      <c r="K27" s="21">
        <f>SUM(K19:K26)</f>
        <v/>
      </c>
      <c r="L27" s="21">
        <f>SUM(L19:L26)</f>
        <v/>
      </c>
      <c r="M27" s="21">
        <f>SUM(M19:M26)</f>
        <v/>
      </c>
      <c r="N27" s="21">
        <f>SUM(N19:N26)</f>
        <v/>
      </c>
      <c r="O27" s="21">
        <f>SUM(O19:O26)</f>
        <v/>
      </c>
      <c r="P27" s="21">
        <f>SUM(P19:P26)</f>
        <v/>
      </c>
      <c r="Q27" s="21">
        <f>SUM(Q19:Q26)</f>
        <v/>
      </c>
      <c r="R27" s="21">
        <f>SUM(R19:R26)</f>
        <v/>
      </c>
      <c r="S27" s="21">
        <f>SUM(S19:S26)</f>
        <v/>
      </c>
      <c r="T27" s="21">
        <f>SUM(T19:T26)</f>
        <v/>
      </c>
      <c r="U27" s="21">
        <f>SUM(U19:U26)</f>
        <v/>
      </c>
      <c r="V27" s="21">
        <f>SUM(V19:V26)</f>
        <v/>
      </c>
      <c r="W27" s="21">
        <f>SUM(W19:W26)</f>
        <v/>
      </c>
      <c r="X27" s="21">
        <f>SUM(X19:X26)</f>
        <v/>
      </c>
      <c r="Y27" s="21">
        <f>SUM(Y19:Y26)</f>
        <v/>
      </c>
      <c r="Z27" s="21">
        <f>SUM(Z19:Z26)</f>
        <v/>
      </c>
      <c r="AA27" s="21">
        <f>SUM(AA19:AA26)</f>
        <v/>
      </c>
      <c r="AB27" s="21">
        <f>SUM(AB19:AB26)</f>
        <v/>
      </c>
      <c r="AC27" s="21">
        <f>SUM(AC19:AC26)</f>
        <v/>
      </c>
      <c r="AD27" s="21">
        <f>SUM(AD19:AD26)</f>
        <v/>
      </c>
      <c r="AE27" s="21">
        <f>SUM(AE19:AE26)</f>
        <v/>
      </c>
      <c r="AF27" s="21">
        <f>SUM(AF19:AF26)</f>
        <v/>
      </c>
      <c r="AG27" s="21">
        <f>SUM(AG19:AG26)</f>
        <v/>
      </c>
      <c r="AH27" s="21">
        <f>SUM(AH19:AH26)</f>
        <v/>
      </c>
      <c r="AI27" s="21">
        <f>SUM(AI19:AI26)</f>
        <v/>
      </c>
      <c r="AJ27" s="21">
        <f>SUM(AJ19:AJ26)</f>
        <v/>
      </c>
      <c r="AK27" s="21">
        <f>SUM(AK19:AK26)</f>
        <v/>
      </c>
      <c r="AL27" s="21">
        <f>SUM(AL19:AL26)</f>
        <v/>
      </c>
      <c r="AM27" s="21">
        <f>SUM(AM19:AM26)</f>
        <v/>
      </c>
      <c r="AN27" s="21">
        <f>SUM(AN19:AN26)</f>
        <v/>
      </c>
      <c r="AO27" s="21">
        <f>SUM(AO19:AO26)</f>
        <v/>
      </c>
    </row>
    <row r="29">
      <c r="A29" s="7" t="inlineStr">
        <is>
          <t>Vendita</t>
        </is>
      </c>
    </row>
    <row r="30">
      <c r="A30" s="18" t="inlineStr">
        <is>
          <t>Prezzo di vendita</t>
        </is>
      </c>
      <c r="B30" t="inlineStr">
        <is>
          <t>EUR</t>
        </is>
      </c>
      <c r="C30" s="15">
        <f>SUM(E30:AO30)</f>
        <v/>
      </c>
      <c r="E30" s="15">
        <f>Arv*E$10</f>
        <v/>
      </c>
      <c r="F30" s="15">
        <f>Arv*F$10</f>
        <v/>
      </c>
      <c r="G30" s="15">
        <f>Arv*G$10</f>
        <v/>
      </c>
      <c r="H30" s="15">
        <f>Arv*H$10</f>
        <v/>
      </c>
      <c r="I30" s="15">
        <f>Arv*I$10</f>
        <v/>
      </c>
      <c r="J30" s="15">
        <f>Arv*J$10</f>
        <v/>
      </c>
      <c r="K30" s="15">
        <f>Arv*K$10</f>
        <v/>
      </c>
      <c r="L30" s="15">
        <f>Arv*L$10</f>
        <v/>
      </c>
      <c r="M30" s="15">
        <f>Arv*M$10</f>
        <v/>
      </c>
      <c r="N30" s="15">
        <f>Arv*N$10</f>
        <v/>
      </c>
      <c r="O30" s="15">
        <f>Arv*O$10</f>
        <v/>
      </c>
      <c r="P30" s="15">
        <f>Arv*P$10</f>
        <v/>
      </c>
      <c r="Q30" s="15">
        <f>Arv*Q$10</f>
        <v/>
      </c>
      <c r="R30" s="15">
        <f>Arv*R$10</f>
        <v/>
      </c>
      <c r="S30" s="15">
        <f>Arv*S$10</f>
        <v/>
      </c>
      <c r="T30" s="15">
        <f>Arv*T$10</f>
        <v/>
      </c>
      <c r="U30" s="15">
        <f>Arv*U$10</f>
        <v/>
      </c>
      <c r="V30" s="15">
        <f>Arv*V$10</f>
        <v/>
      </c>
      <c r="W30" s="15">
        <f>Arv*W$10</f>
        <v/>
      </c>
      <c r="X30" s="15">
        <f>Arv*X$10</f>
        <v/>
      </c>
      <c r="Y30" s="15">
        <f>Arv*Y$10</f>
        <v/>
      </c>
      <c r="Z30" s="15">
        <f>Arv*Z$10</f>
        <v/>
      </c>
      <c r="AA30" s="15">
        <f>Arv*AA$10</f>
        <v/>
      </c>
      <c r="AB30" s="15">
        <f>Arv*AB$10</f>
        <v/>
      </c>
      <c r="AC30" s="15">
        <f>Arv*AC$10</f>
        <v/>
      </c>
      <c r="AD30" s="15">
        <f>Arv*AD$10</f>
        <v/>
      </c>
      <c r="AE30" s="15">
        <f>Arv*AE$10</f>
        <v/>
      </c>
      <c r="AF30" s="15">
        <f>Arv*AF$10</f>
        <v/>
      </c>
      <c r="AG30" s="15">
        <f>Arv*AG$10</f>
        <v/>
      </c>
      <c r="AH30" s="15">
        <f>Arv*AH$10</f>
        <v/>
      </c>
      <c r="AI30" s="15">
        <f>Arv*AI$10</f>
        <v/>
      </c>
      <c r="AJ30" s="15">
        <f>Arv*AJ$10</f>
        <v/>
      </c>
      <c r="AK30" s="15">
        <f>Arv*AK$10</f>
        <v/>
      </c>
      <c r="AL30" s="15">
        <f>Arv*AL$10</f>
        <v/>
      </c>
      <c r="AM30" s="15">
        <f>Arv*AM$10</f>
        <v/>
      </c>
      <c r="AN30" s="15">
        <f>Arv*AN$10</f>
        <v/>
      </c>
      <c r="AO30" s="15">
        <f>Arv*AO$10</f>
        <v/>
      </c>
    </row>
    <row r="31">
      <c r="A31" s="18" t="inlineStr">
        <is>
          <t>Costi di vendita</t>
        </is>
      </c>
      <c r="B31" t="inlineStr">
        <is>
          <t>EUR</t>
        </is>
      </c>
      <c r="C31" s="15">
        <f>SUM(E31:AO31)</f>
        <v/>
      </c>
      <c r="E31" s="15">
        <f>-Vendita_pct*Arv*E$10</f>
        <v/>
      </c>
      <c r="F31" s="15">
        <f>-Vendita_pct*Arv*F$10</f>
        <v/>
      </c>
      <c r="G31" s="15">
        <f>-Vendita_pct*Arv*G$10</f>
        <v/>
      </c>
      <c r="H31" s="15">
        <f>-Vendita_pct*Arv*H$10</f>
        <v/>
      </c>
      <c r="I31" s="15">
        <f>-Vendita_pct*Arv*I$10</f>
        <v/>
      </c>
      <c r="J31" s="15">
        <f>-Vendita_pct*Arv*J$10</f>
        <v/>
      </c>
      <c r="K31" s="15">
        <f>-Vendita_pct*Arv*K$10</f>
        <v/>
      </c>
      <c r="L31" s="15">
        <f>-Vendita_pct*Arv*L$10</f>
        <v/>
      </c>
      <c r="M31" s="15">
        <f>-Vendita_pct*Arv*M$10</f>
        <v/>
      </c>
      <c r="N31" s="15">
        <f>-Vendita_pct*Arv*N$10</f>
        <v/>
      </c>
      <c r="O31" s="15">
        <f>-Vendita_pct*Arv*O$10</f>
        <v/>
      </c>
      <c r="P31" s="15">
        <f>-Vendita_pct*Arv*P$10</f>
        <v/>
      </c>
      <c r="Q31" s="15">
        <f>-Vendita_pct*Arv*Q$10</f>
        <v/>
      </c>
      <c r="R31" s="15">
        <f>-Vendita_pct*Arv*R$10</f>
        <v/>
      </c>
      <c r="S31" s="15">
        <f>-Vendita_pct*Arv*S$10</f>
        <v/>
      </c>
      <c r="T31" s="15">
        <f>-Vendita_pct*Arv*T$10</f>
        <v/>
      </c>
      <c r="U31" s="15">
        <f>-Vendita_pct*Arv*U$10</f>
        <v/>
      </c>
      <c r="V31" s="15">
        <f>-Vendita_pct*Arv*V$10</f>
        <v/>
      </c>
      <c r="W31" s="15">
        <f>-Vendita_pct*Arv*W$10</f>
        <v/>
      </c>
      <c r="X31" s="15">
        <f>-Vendita_pct*Arv*X$10</f>
        <v/>
      </c>
      <c r="Y31" s="15">
        <f>-Vendita_pct*Arv*Y$10</f>
        <v/>
      </c>
      <c r="Z31" s="15">
        <f>-Vendita_pct*Arv*Z$10</f>
        <v/>
      </c>
      <c r="AA31" s="15">
        <f>-Vendita_pct*Arv*AA$10</f>
        <v/>
      </c>
      <c r="AB31" s="15">
        <f>-Vendita_pct*Arv*AB$10</f>
        <v/>
      </c>
      <c r="AC31" s="15">
        <f>-Vendita_pct*Arv*AC$10</f>
        <v/>
      </c>
      <c r="AD31" s="15">
        <f>-Vendita_pct*Arv*AD$10</f>
        <v/>
      </c>
      <c r="AE31" s="15">
        <f>-Vendita_pct*Arv*AE$10</f>
        <v/>
      </c>
      <c r="AF31" s="15">
        <f>-Vendita_pct*Arv*AF$10</f>
        <v/>
      </c>
      <c r="AG31" s="15">
        <f>-Vendita_pct*Arv*AG$10</f>
        <v/>
      </c>
      <c r="AH31" s="15">
        <f>-Vendita_pct*Arv*AH$10</f>
        <v/>
      </c>
      <c r="AI31" s="15">
        <f>-Vendita_pct*Arv*AI$10</f>
        <v/>
      </c>
      <c r="AJ31" s="15">
        <f>-Vendita_pct*Arv*AJ$10</f>
        <v/>
      </c>
      <c r="AK31" s="15">
        <f>-Vendita_pct*Arv*AK$10</f>
        <v/>
      </c>
      <c r="AL31" s="15">
        <f>-Vendita_pct*Arv*AL$10</f>
        <v/>
      </c>
      <c r="AM31" s="15">
        <f>-Vendita_pct*Arv*AM$10</f>
        <v/>
      </c>
      <c r="AN31" s="15">
        <f>-Vendita_pct*Arv*AN$10</f>
        <v/>
      </c>
      <c r="AO31" s="15">
        <f>-Vendita_pct*Arv*AO$10</f>
        <v/>
      </c>
    </row>
    <row r="32">
      <c r="A32" s="7" t="inlineStr">
        <is>
          <t>Totale vendita netta</t>
        </is>
      </c>
      <c r="B32" t="inlineStr">
        <is>
          <t>EUR</t>
        </is>
      </c>
      <c r="C32" s="20">
        <f>SUM(E32:AO32)</f>
        <v/>
      </c>
      <c r="E32" s="21">
        <f>E30+E31</f>
        <v/>
      </c>
      <c r="F32" s="21">
        <f>F30+F31</f>
        <v/>
      </c>
      <c r="G32" s="21">
        <f>G30+G31</f>
        <v/>
      </c>
      <c r="H32" s="21">
        <f>H30+H31</f>
        <v/>
      </c>
      <c r="I32" s="21">
        <f>I30+I31</f>
        <v/>
      </c>
      <c r="J32" s="21">
        <f>J30+J31</f>
        <v/>
      </c>
      <c r="K32" s="21">
        <f>K30+K31</f>
        <v/>
      </c>
      <c r="L32" s="21">
        <f>L30+L31</f>
        <v/>
      </c>
      <c r="M32" s="21">
        <f>M30+M31</f>
        <v/>
      </c>
      <c r="N32" s="21">
        <f>N30+N31</f>
        <v/>
      </c>
      <c r="O32" s="21">
        <f>O30+O31</f>
        <v/>
      </c>
      <c r="P32" s="21">
        <f>P30+P31</f>
        <v/>
      </c>
      <c r="Q32" s="21">
        <f>Q30+Q31</f>
        <v/>
      </c>
      <c r="R32" s="21">
        <f>R30+R31</f>
        <v/>
      </c>
      <c r="S32" s="21">
        <f>S30+S31</f>
        <v/>
      </c>
      <c r="T32" s="21">
        <f>T30+T31</f>
        <v/>
      </c>
      <c r="U32" s="21">
        <f>U30+U31</f>
        <v/>
      </c>
      <c r="V32" s="21">
        <f>V30+V31</f>
        <v/>
      </c>
      <c r="W32" s="21">
        <f>W30+W31</f>
        <v/>
      </c>
      <c r="X32" s="21">
        <f>X30+X31</f>
        <v/>
      </c>
      <c r="Y32" s="21">
        <f>Y30+Y31</f>
        <v/>
      </c>
      <c r="Z32" s="21">
        <f>Z30+Z31</f>
        <v/>
      </c>
      <c r="AA32" s="21">
        <f>AA30+AA31</f>
        <v/>
      </c>
      <c r="AB32" s="21">
        <f>AB30+AB31</f>
        <v/>
      </c>
      <c r="AC32" s="21">
        <f>AC30+AC31</f>
        <v/>
      </c>
      <c r="AD32" s="21">
        <f>AD30+AD31</f>
        <v/>
      </c>
      <c r="AE32" s="21">
        <f>AE30+AE31</f>
        <v/>
      </c>
      <c r="AF32" s="21">
        <f>AF30+AF31</f>
        <v/>
      </c>
      <c r="AG32" s="21">
        <f>AG30+AG31</f>
        <v/>
      </c>
      <c r="AH32" s="21">
        <f>AH30+AH31</f>
        <v/>
      </c>
      <c r="AI32" s="21">
        <f>AI30+AI31</f>
        <v/>
      </c>
      <c r="AJ32" s="21">
        <f>AJ30+AJ31</f>
        <v/>
      </c>
      <c r="AK32" s="21">
        <f>AK30+AK31</f>
        <v/>
      </c>
      <c r="AL32" s="21">
        <f>AL30+AL31</f>
        <v/>
      </c>
      <c r="AM32" s="21">
        <f>AM30+AM31</f>
        <v/>
      </c>
      <c r="AN32" s="21">
        <f>AN30+AN31</f>
        <v/>
      </c>
      <c r="AO32" s="21">
        <f>AO30+AO31</f>
        <v/>
      </c>
    </row>
    <row r="34">
      <c r="A34" s="7" t="inlineStr">
        <is>
          <t>Flusso di cassa ante imposte</t>
        </is>
      </c>
      <c r="B34" t="inlineStr">
        <is>
          <t>EUR</t>
        </is>
      </c>
      <c r="C34" s="20">
        <f>SUM(E34:AO34)</f>
        <v/>
      </c>
      <c r="E34" s="21">
        <f>E16+E27+E32</f>
        <v/>
      </c>
      <c r="F34" s="21">
        <f>F16+F27+F32</f>
        <v/>
      </c>
      <c r="G34" s="21">
        <f>G16+G27+G32</f>
        <v/>
      </c>
      <c r="H34" s="21">
        <f>H16+H27+H32</f>
        <v/>
      </c>
      <c r="I34" s="21">
        <f>I16+I27+I32</f>
        <v/>
      </c>
      <c r="J34" s="21">
        <f>J16+J27+J32</f>
        <v/>
      </c>
      <c r="K34" s="21">
        <f>K16+K27+K32</f>
        <v/>
      </c>
      <c r="L34" s="21">
        <f>L16+L27+L32</f>
        <v/>
      </c>
      <c r="M34" s="21">
        <f>M16+M27+M32</f>
        <v/>
      </c>
      <c r="N34" s="21">
        <f>N16+N27+N32</f>
        <v/>
      </c>
      <c r="O34" s="21">
        <f>O16+O27+O32</f>
        <v/>
      </c>
      <c r="P34" s="21">
        <f>P16+P27+P32</f>
        <v/>
      </c>
      <c r="Q34" s="21">
        <f>Q16+Q27+Q32</f>
        <v/>
      </c>
      <c r="R34" s="21">
        <f>R16+R27+R32</f>
        <v/>
      </c>
      <c r="S34" s="21">
        <f>S16+S27+S32</f>
        <v/>
      </c>
      <c r="T34" s="21">
        <f>T16+T27+T32</f>
        <v/>
      </c>
      <c r="U34" s="21">
        <f>U16+U27+U32</f>
        <v/>
      </c>
      <c r="V34" s="21">
        <f>V16+V27+V32</f>
        <v/>
      </c>
      <c r="W34" s="21">
        <f>W16+W27+W32</f>
        <v/>
      </c>
      <c r="X34" s="21">
        <f>X16+X27+X32</f>
        <v/>
      </c>
      <c r="Y34" s="21">
        <f>Y16+Y27+Y32</f>
        <v/>
      </c>
      <c r="Z34" s="21">
        <f>Z16+Z27+Z32</f>
        <v/>
      </c>
      <c r="AA34" s="21">
        <f>AA16+AA27+AA32</f>
        <v/>
      </c>
      <c r="AB34" s="21">
        <f>AB16+AB27+AB32</f>
        <v/>
      </c>
      <c r="AC34" s="21">
        <f>AC16+AC27+AC32</f>
        <v/>
      </c>
      <c r="AD34" s="21">
        <f>AD16+AD27+AD32</f>
        <v/>
      </c>
      <c r="AE34" s="21">
        <f>AE16+AE27+AE32</f>
        <v/>
      </c>
      <c r="AF34" s="21">
        <f>AF16+AF27+AF32</f>
        <v/>
      </c>
      <c r="AG34" s="21">
        <f>AG16+AG27+AG32</f>
        <v/>
      </c>
      <c r="AH34" s="21">
        <f>AH16+AH27+AH32</f>
        <v/>
      </c>
      <c r="AI34" s="21">
        <f>AI16+AI27+AI32</f>
        <v/>
      </c>
      <c r="AJ34" s="21">
        <f>AJ16+AJ27+AJ32</f>
        <v/>
      </c>
      <c r="AK34" s="21">
        <f>AK16+AK27+AK32</f>
        <v/>
      </c>
      <c r="AL34" s="21">
        <f>AL16+AL27+AL32</f>
        <v/>
      </c>
      <c r="AM34" s="21">
        <f>AM16+AM27+AM32</f>
        <v/>
      </c>
      <c r="AN34" s="21">
        <f>AN16+AN27+AN32</f>
        <v/>
      </c>
      <c r="AO34" s="21">
        <f>AO16+AO27+AO32</f>
        <v/>
      </c>
    </row>
    <row r="35">
      <c r="A35" s="18" t="inlineStr">
        <is>
          <t>Cumulato</t>
        </is>
      </c>
      <c r="B35" t="inlineStr">
        <is>
          <t>EUR</t>
        </is>
      </c>
      <c r="E35" s="15">
        <f>IF(ISNUMBER(D35),D35,0)+E34</f>
        <v/>
      </c>
      <c r="F35" s="15">
        <f>IF(ISNUMBER(E35),E35,0)+F34</f>
        <v/>
      </c>
      <c r="G35" s="15">
        <f>IF(ISNUMBER(F35),F35,0)+G34</f>
        <v/>
      </c>
      <c r="H35" s="15">
        <f>IF(ISNUMBER(G35),G35,0)+H34</f>
        <v/>
      </c>
      <c r="I35" s="15">
        <f>IF(ISNUMBER(H35),H35,0)+I34</f>
        <v/>
      </c>
      <c r="J35" s="15">
        <f>IF(ISNUMBER(I35),I35,0)+J34</f>
        <v/>
      </c>
      <c r="K35" s="15">
        <f>IF(ISNUMBER(J35),J35,0)+K34</f>
        <v/>
      </c>
      <c r="L35" s="15">
        <f>IF(ISNUMBER(K35),K35,0)+L34</f>
        <v/>
      </c>
      <c r="M35" s="15">
        <f>IF(ISNUMBER(L35),L35,0)+M34</f>
        <v/>
      </c>
      <c r="N35" s="15">
        <f>IF(ISNUMBER(M35),M35,0)+N34</f>
        <v/>
      </c>
      <c r="O35" s="15">
        <f>IF(ISNUMBER(N35),N35,0)+O34</f>
        <v/>
      </c>
      <c r="P35" s="15">
        <f>IF(ISNUMBER(O35),O35,0)+P34</f>
        <v/>
      </c>
      <c r="Q35" s="15">
        <f>IF(ISNUMBER(P35),P35,0)+Q34</f>
        <v/>
      </c>
      <c r="R35" s="15">
        <f>IF(ISNUMBER(Q35),Q35,0)+R34</f>
        <v/>
      </c>
      <c r="S35" s="15">
        <f>IF(ISNUMBER(R35),R35,0)+S34</f>
        <v/>
      </c>
      <c r="T35" s="15">
        <f>IF(ISNUMBER(S35),S35,0)+T34</f>
        <v/>
      </c>
      <c r="U35" s="15">
        <f>IF(ISNUMBER(T35),T35,0)+U34</f>
        <v/>
      </c>
      <c r="V35" s="15">
        <f>IF(ISNUMBER(U35),U35,0)+V34</f>
        <v/>
      </c>
      <c r="W35" s="15">
        <f>IF(ISNUMBER(V35),V35,0)+W34</f>
        <v/>
      </c>
      <c r="X35" s="15">
        <f>IF(ISNUMBER(W35),W35,0)+X34</f>
        <v/>
      </c>
      <c r="Y35" s="15">
        <f>IF(ISNUMBER(X35),X35,0)+Y34</f>
        <v/>
      </c>
      <c r="Z35" s="15">
        <f>IF(ISNUMBER(Y35),Y35,0)+Z34</f>
        <v/>
      </c>
      <c r="AA35" s="15">
        <f>IF(ISNUMBER(Z35),Z35,0)+AA34</f>
        <v/>
      </c>
      <c r="AB35" s="15">
        <f>IF(ISNUMBER(AA35),AA35,0)+AB34</f>
        <v/>
      </c>
      <c r="AC35" s="15">
        <f>IF(ISNUMBER(AB35),AB35,0)+AC34</f>
        <v/>
      </c>
      <c r="AD35" s="15">
        <f>IF(ISNUMBER(AC35),AC35,0)+AD34</f>
        <v/>
      </c>
      <c r="AE35" s="15">
        <f>IF(ISNUMBER(AD35),AD35,0)+AE34</f>
        <v/>
      </c>
      <c r="AF35" s="15">
        <f>IF(ISNUMBER(AE35),AE35,0)+AF34</f>
        <v/>
      </c>
      <c r="AG35" s="15">
        <f>IF(ISNUMBER(AF35),AF35,0)+AG34</f>
        <v/>
      </c>
      <c r="AH35" s="15">
        <f>IF(ISNUMBER(AG35),AG35,0)+AH34</f>
        <v/>
      </c>
      <c r="AI35" s="15">
        <f>IF(ISNUMBER(AH35),AH35,0)+AI34</f>
        <v/>
      </c>
      <c r="AJ35" s="15">
        <f>IF(ISNUMBER(AI35),AI35,0)+AJ34</f>
        <v/>
      </c>
      <c r="AK35" s="15">
        <f>IF(ISNUMBER(AJ35),AJ35,0)+AK34</f>
        <v/>
      </c>
      <c r="AL35" s="15">
        <f>IF(ISNUMBER(AK35),AK35,0)+AL34</f>
        <v/>
      </c>
      <c r="AM35" s="15">
        <f>IF(ISNUMBER(AL35),AL35,0)+AM34</f>
        <v/>
      </c>
      <c r="AN35" s="15">
        <f>IF(ISNUMBER(AM35),AM35,0)+AN34</f>
        <v/>
      </c>
      <c r="AO35" s="15">
        <f>IF(ISNUMBER(AN35),AN35,0)+AO34</f>
        <v/>
      </c>
    </row>
    <row r="36">
      <c r="A36" s="18" t="inlineStr">
        <is>
          <t>IRES sull'utile (alla vendita)</t>
        </is>
      </c>
      <c r="B36" t="inlineStr">
        <is>
          <t>EUR</t>
        </is>
      </c>
      <c r="C36" s="15">
        <f>SUM(E36:AO36)</f>
        <v/>
      </c>
      <c r="E36" s="15">
        <f>-Ires_pct*MAX(0,$C$34)*E$10</f>
        <v/>
      </c>
      <c r="F36" s="15">
        <f>-Ires_pct*MAX(0,$C$34)*F$10</f>
        <v/>
      </c>
      <c r="G36" s="15">
        <f>-Ires_pct*MAX(0,$C$34)*G$10</f>
        <v/>
      </c>
      <c r="H36" s="15">
        <f>-Ires_pct*MAX(0,$C$34)*H$10</f>
        <v/>
      </c>
      <c r="I36" s="15">
        <f>-Ires_pct*MAX(0,$C$34)*I$10</f>
        <v/>
      </c>
      <c r="J36" s="15">
        <f>-Ires_pct*MAX(0,$C$34)*J$10</f>
        <v/>
      </c>
      <c r="K36" s="15">
        <f>-Ires_pct*MAX(0,$C$34)*K$10</f>
        <v/>
      </c>
      <c r="L36" s="15">
        <f>-Ires_pct*MAX(0,$C$34)*L$10</f>
        <v/>
      </c>
      <c r="M36" s="15">
        <f>-Ires_pct*MAX(0,$C$34)*M$10</f>
        <v/>
      </c>
      <c r="N36" s="15">
        <f>-Ires_pct*MAX(0,$C$34)*N$10</f>
        <v/>
      </c>
      <c r="O36" s="15">
        <f>-Ires_pct*MAX(0,$C$34)*O$10</f>
        <v/>
      </c>
      <c r="P36" s="15">
        <f>-Ires_pct*MAX(0,$C$34)*P$10</f>
        <v/>
      </c>
      <c r="Q36" s="15">
        <f>-Ires_pct*MAX(0,$C$34)*Q$10</f>
        <v/>
      </c>
      <c r="R36" s="15">
        <f>-Ires_pct*MAX(0,$C$34)*R$10</f>
        <v/>
      </c>
      <c r="S36" s="15">
        <f>-Ires_pct*MAX(0,$C$34)*S$10</f>
        <v/>
      </c>
      <c r="T36" s="15">
        <f>-Ires_pct*MAX(0,$C$34)*T$10</f>
        <v/>
      </c>
      <c r="U36" s="15">
        <f>-Ires_pct*MAX(0,$C$34)*U$10</f>
        <v/>
      </c>
      <c r="V36" s="15">
        <f>-Ires_pct*MAX(0,$C$34)*V$10</f>
        <v/>
      </c>
      <c r="W36" s="15">
        <f>-Ires_pct*MAX(0,$C$34)*W$10</f>
        <v/>
      </c>
      <c r="X36" s="15">
        <f>-Ires_pct*MAX(0,$C$34)*X$10</f>
        <v/>
      </c>
      <c r="Y36" s="15">
        <f>-Ires_pct*MAX(0,$C$34)*Y$10</f>
        <v/>
      </c>
      <c r="Z36" s="15">
        <f>-Ires_pct*MAX(0,$C$34)*Z$10</f>
        <v/>
      </c>
      <c r="AA36" s="15">
        <f>-Ires_pct*MAX(0,$C$34)*AA$10</f>
        <v/>
      </c>
      <c r="AB36" s="15">
        <f>-Ires_pct*MAX(0,$C$34)*AB$10</f>
        <v/>
      </c>
      <c r="AC36" s="15">
        <f>-Ires_pct*MAX(0,$C$34)*AC$10</f>
        <v/>
      </c>
      <c r="AD36" s="15">
        <f>-Ires_pct*MAX(0,$C$34)*AD$10</f>
        <v/>
      </c>
      <c r="AE36" s="15">
        <f>-Ires_pct*MAX(0,$C$34)*AE$10</f>
        <v/>
      </c>
      <c r="AF36" s="15">
        <f>-Ires_pct*MAX(0,$C$34)*AF$10</f>
        <v/>
      </c>
      <c r="AG36" s="15">
        <f>-Ires_pct*MAX(0,$C$34)*AG$10</f>
        <v/>
      </c>
      <c r="AH36" s="15">
        <f>-Ires_pct*MAX(0,$C$34)*AH$10</f>
        <v/>
      </c>
      <c r="AI36" s="15">
        <f>-Ires_pct*MAX(0,$C$34)*AI$10</f>
        <v/>
      </c>
      <c r="AJ36" s="15">
        <f>-Ires_pct*MAX(0,$C$34)*AJ$10</f>
        <v/>
      </c>
      <c r="AK36" s="15">
        <f>-Ires_pct*MAX(0,$C$34)*AK$10</f>
        <v/>
      </c>
      <c r="AL36" s="15">
        <f>-Ires_pct*MAX(0,$C$34)*AL$10</f>
        <v/>
      </c>
      <c r="AM36" s="15">
        <f>-Ires_pct*MAX(0,$C$34)*AM$10</f>
        <v/>
      </c>
      <c r="AN36" s="15">
        <f>-Ires_pct*MAX(0,$C$34)*AN$10</f>
        <v/>
      </c>
      <c r="AO36" s="15">
        <f>-Ires_pct*MAX(0,$C$34)*AO$10</f>
        <v/>
      </c>
    </row>
    <row r="37">
      <c r="A37" s="7" t="inlineStr">
        <is>
          <t>Flusso di cassa dopo IRES</t>
        </is>
      </c>
      <c r="B37" t="inlineStr">
        <is>
          <t>EUR</t>
        </is>
      </c>
      <c r="C37" s="20">
        <f>SUM(E37:AO37)</f>
        <v/>
      </c>
      <c r="E37" s="21">
        <f>E34+E36</f>
        <v/>
      </c>
      <c r="F37" s="21">
        <f>F34+F36</f>
        <v/>
      </c>
      <c r="G37" s="21">
        <f>G34+G36</f>
        <v/>
      </c>
      <c r="H37" s="21">
        <f>H34+H36</f>
        <v/>
      </c>
      <c r="I37" s="21">
        <f>I34+I36</f>
        <v/>
      </c>
      <c r="J37" s="21">
        <f>J34+J36</f>
        <v/>
      </c>
      <c r="K37" s="21">
        <f>K34+K36</f>
        <v/>
      </c>
      <c r="L37" s="21">
        <f>L34+L36</f>
        <v/>
      </c>
      <c r="M37" s="21">
        <f>M34+M36</f>
        <v/>
      </c>
      <c r="N37" s="21">
        <f>N34+N36</f>
        <v/>
      </c>
      <c r="O37" s="21">
        <f>O34+O36</f>
        <v/>
      </c>
      <c r="P37" s="21">
        <f>P34+P36</f>
        <v/>
      </c>
      <c r="Q37" s="21">
        <f>Q34+Q36</f>
        <v/>
      </c>
      <c r="R37" s="21">
        <f>R34+R36</f>
        <v/>
      </c>
      <c r="S37" s="21">
        <f>S34+S36</f>
        <v/>
      </c>
      <c r="T37" s="21">
        <f>T34+T36</f>
        <v/>
      </c>
      <c r="U37" s="21">
        <f>U34+U36</f>
        <v/>
      </c>
      <c r="V37" s="21">
        <f>V34+V36</f>
        <v/>
      </c>
      <c r="W37" s="21">
        <f>W34+W36</f>
        <v/>
      </c>
      <c r="X37" s="21">
        <f>X34+X36</f>
        <v/>
      </c>
      <c r="Y37" s="21">
        <f>Y34+Y36</f>
        <v/>
      </c>
      <c r="Z37" s="21">
        <f>Z34+Z36</f>
        <v/>
      </c>
      <c r="AA37" s="21">
        <f>AA34+AA36</f>
        <v/>
      </c>
      <c r="AB37" s="21">
        <f>AB34+AB36</f>
        <v/>
      </c>
      <c r="AC37" s="21">
        <f>AC34+AC36</f>
        <v/>
      </c>
      <c r="AD37" s="21">
        <f>AD34+AD36</f>
        <v/>
      </c>
      <c r="AE37" s="21">
        <f>AE34+AE36</f>
        <v/>
      </c>
      <c r="AF37" s="21">
        <f>AF34+AF36</f>
        <v/>
      </c>
      <c r="AG37" s="21">
        <f>AG34+AG36</f>
        <v/>
      </c>
      <c r="AH37" s="21">
        <f>AH34+AH36</f>
        <v/>
      </c>
      <c r="AI37" s="21">
        <f>AI34+AI36</f>
        <v/>
      </c>
      <c r="AJ37" s="21">
        <f>AJ34+AJ36</f>
        <v/>
      </c>
      <c r="AK37" s="21">
        <f>AK34+AK36</f>
        <v/>
      </c>
      <c r="AL37" s="21">
        <f>AL34+AL36</f>
        <v/>
      </c>
      <c r="AM37" s="21">
        <f>AM34+AM36</f>
        <v/>
      </c>
      <c r="AN37" s="21">
        <f>AN34+AN36</f>
        <v/>
      </c>
      <c r="AO37" s="21">
        <f>AO34+AO36</f>
        <v/>
      </c>
    </row>
    <row r="39">
      <c r="A39" s="7" t="inlineStr">
        <is>
          <t>Club deal: flussi per socio</t>
        </is>
      </c>
    </row>
    <row r="40">
      <c r="A40" s="18" t="inlineStr">
        <is>
          <t>Investitori</t>
        </is>
      </c>
      <c r="B40" t="inlineStr">
        <is>
          <t>EUR</t>
        </is>
      </c>
      <c r="C40" s="15">
        <f>SUM(E40:AO40)</f>
        <v/>
      </c>
      <c r="E40" s="15">
        <f>-MIN(0,E37)*-(1-Sponsor_cap)+Outputs!$C$40*E$10</f>
        <v/>
      </c>
      <c r="F40" s="15">
        <f>-MIN(0,F37)*-(1-Sponsor_cap)+Outputs!$C$40*F$10</f>
        <v/>
      </c>
      <c r="G40" s="15">
        <f>-MIN(0,G37)*-(1-Sponsor_cap)+Outputs!$C$40*G$10</f>
        <v/>
      </c>
      <c r="H40" s="15">
        <f>-MIN(0,H37)*-(1-Sponsor_cap)+Outputs!$C$40*H$10</f>
        <v/>
      </c>
      <c r="I40" s="15">
        <f>-MIN(0,I37)*-(1-Sponsor_cap)+Outputs!$C$40*I$10</f>
        <v/>
      </c>
      <c r="J40" s="15">
        <f>-MIN(0,J37)*-(1-Sponsor_cap)+Outputs!$C$40*J$10</f>
        <v/>
      </c>
      <c r="K40" s="15">
        <f>-MIN(0,K37)*-(1-Sponsor_cap)+Outputs!$C$40*K$10</f>
        <v/>
      </c>
      <c r="L40" s="15">
        <f>-MIN(0,L37)*-(1-Sponsor_cap)+Outputs!$C$40*L$10</f>
        <v/>
      </c>
      <c r="M40" s="15">
        <f>-MIN(0,M37)*-(1-Sponsor_cap)+Outputs!$C$40*M$10</f>
        <v/>
      </c>
      <c r="N40" s="15">
        <f>-MIN(0,N37)*-(1-Sponsor_cap)+Outputs!$C$40*N$10</f>
        <v/>
      </c>
      <c r="O40" s="15">
        <f>-MIN(0,O37)*-(1-Sponsor_cap)+Outputs!$C$40*O$10</f>
        <v/>
      </c>
      <c r="P40" s="15">
        <f>-MIN(0,P37)*-(1-Sponsor_cap)+Outputs!$C$40*P$10</f>
        <v/>
      </c>
      <c r="Q40" s="15">
        <f>-MIN(0,Q37)*-(1-Sponsor_cap)+Outputs!$C$40*Q$10</f>
        <v/>
      </c>
      <c r="R40" s="15">
        <f>-MIN(0,R37)*-(1-Sponsor_cap)+Outputs!$C$40*R$10</f>
        <v/>
      </c>
      <c r="S40" s="15">
        <f>-MIN(0,S37)*-(1-Sponsor_cap)+Outputs!$C$40*S$10</f>
        <v/>
      </c>
      <c r="T40" s="15">
        <f>-MIN(0,T37)*-(1-Sponsor_cap)+Outputs!$C$40*T$10</f>
        <v/>
      </c>
      <c r="U40" s="15">
        <f>-MIN(0,U37)*-(1-Sponsor_cap)+Outputs!$C$40*U$10</f>
        <v/>
      </c>
      <c r="V40" s="15">
        <f>-MIN(0,V37)*-(1-Sponsor_cap)+Outputs!$C$40*V$10</f>
        <v/>
      </c>
      <c r="W40" s="15">
        <f>-MIN(0,W37)*-(1-Sponsor_cap)+Outputs!$C$40*W$10</f>
        <v/>
      </c>
      <c r="X40" s="15">
        <f>-MIN(0,X37)*-(1-Sponsor_cap)+Outputs!$C$40*X$10</f>
        <v/>
      </c>
      <c r="Y40" s="15">
        <f>-MIN(0,Y37)*-(1-Sponsor_cap)+Outputs!$C$40*Y$10</f>
        <v/>
      </c>
      <c r="Z40" s="15">
        <f>-MIN(0,Z37)*-(1-Sponsor_cap)+Outputs!$C$40*Z$10</f>
        <v/>
      </c>
      <c r="AA40" s="15">
        <f>-MIN(0,AA37)*-(1-Sponsor_cap)+Outputs!$C$40*AA$10</f>
        <v/>
      </c>
      <c r="AB40" s="15">
        <f>-MIN(0,AB37)*-(1-Sponsor_cap)+Outputs!$C$40*AB$10</f>
        <v/>
      </c>
      <c r="AC40" s="15">
        <f>-MIN(0,AC37)*-(1-Sponsor_cap)+Outputs!$C$40*AC$10</f>
        <v/>
      </c>
      <c r="AD40" s="15">
        <f>-MIN(0,AD37)*-(1-Sponsor_cap)+Outputs!$C$40*AD$10</f>
        <v/>
      </c>
      <c r="AE40" s="15">
        <f>-MIN(0,AE37)*-(1-Sponsor_cap)+Outputs!$C$40*AE$10</f>
        <v/>
      </c>
      <c r="AF40" s="15">
        <f>-MIN(0,AF37)*-(1-Sponsor_cap)+Outputs!$C$40*AF$10</f>
        <v/>
      </c>
      <c r="AG40" s="15">
        <f>-MIN(0,AG37)*-(1-Sponsor_cap)+Outputs!$C$40*AG$10</f>
        <v/>
      </c>
      <c r="AH40" s="15">
        <f>-MIN(0,AH37)*-(1-Sponsor_cap)+Outputs!$C$40*AH$10</f>
        <v/>
      </c>
      <c r="AI40" s="15">
        <f>-MIN(0,AI37)*-(1-Sponsor_cap)+Outputs!$C$40*AI$10</f>
        <v/>
      </c>
      <c r="AJ40" s="15">
        <f>-MIN(0,AJ37)*-(1-Sponsor_cap)+Outputs!$C$40*AJ$10</f>
        <v/>
      </c>
      <c r="AK40" s="15">
        <f>-MIN(0,AK37)*-(1-Sponsor_cap)+Outputs!$C$40*AK$10</f>
        <v/>
      </c>
      <c r="AL40" s="15">
        <f>-MIN(0,AL37)*-(1-Sponsor_cap)+Outputs!$C$40*AL$10</f>
        <v/>
      </c>
      <c r="AM40" s="15">
        <f>-MIN(0,AM37)*-(1-Sponsor_cap)+Outputs!$C$40*AM$10</f>
        <v/>
      </c>
      <c r="AN40" s="15">
        <f>-MIN(0,AN37)*-(1-Sponsor_cap)+Outputs!$C$40*AN$10</f>
        <v/>
      </c>
      <c r="AO40" s="15">
        <f>-MIN(0,AO37)*-(1-Sponsor_cap)+Outputs!$C$40*AO$10</f>
        <v/>
      </c>
    </row>
    <row r="41">
      <c r="A41" s="18" t="inlineStr">
        <is>
          <t>Promotore (QRE)</t>
        </is>
      </c>
      <c r="B41" t="inlineStr">
        <is>
          <t>EUR</t>
        </is>
      </c>
      <c r="C41" s="15">
        <f>SUM(E41:AO41)</f>
        <v/>
      </c>
      <c r="E41" s="15">
        <f>-MIN(0,E37)*-Sponsor_cap+Outputs!$C$41*E$10</f>
        <v/>
      </c>
      <c r="F41" s="15">
        <f>-MIN(0,F37)*-Sponsor_cap+Outputs!$C$41*F$10</f>
        <v/>
      </c>
      <c r="G41" s="15">
        <f>-MIN(0,G37)*-Sponsor_cap+Outputs!$C$41*G$10</f>
        <v/>
      </c>
      <c r="H41" s="15">
        <f>-MIN(0,H37)*-Sponsor_cap+Outputs!$C$41*H$10</f>
        <v/>
      </c>
      <c r="I41" s="15">
        <f>-MIN(0,I37)*-Sponsor_cap+Outputs!$C$41*I$10</f>
        <v/>
      </c>
      <c r="J41" s="15">
        <f>-MIN(0,J37)*-Sponsor_cap+Outputs!$C$41*J$10</f>
        <v/>
      </c>
      <c r="K41" s="15">
        <f>-MIN(0,K37)*-Sponsor_cap+Outputs!$C$41*K$10</f>
        <v/>
      </c>
      <c r="L41" s="15">
        <f>-MIN(0,L37)*-Sponsor_cap+Outputs!$C$41*L$10</f>
        <v/>
      </c>
      <c r="M41" s="15">
        <f>-MIN(0,M37)*-Sponsor_cap+Outputs!$C$41*M$10</f>
        <v/>
      </c>
      <c r="N41" s="15">
        <f>-MIN(0,N37)*-Sponsor_cap+Outputs!$C$41*N$10</f>
        <v/>
      </c>
      <c r="O41" s="15">
        <f>-MIN(0,O37)*-Sponsor_cap+Outputs!$C$41*O$10</f>
        <v/>
      </c>
      <c r="P41" s="15">
        <f>-MIN(0,P37)*-Sponsor_cap+Outputs!$C$41*P$10</f>
        <v/>
      </c>
      <c r="Q41" s="15">
        <f>-MIN(0,Q37)*-Sponsor_cap+Outputs!$C$41*Q$10</f>
        <v/>
      </c>
      <c r="R41" s="15">
        <f>-MIN(0,R37)*-Sponsor_cap+Outputs!$C$41*R$10</f>
        <v/>
      </c>
      <c r="S41" s="15">
        <f>-MIN(0,S37)*-Sponsor_cap+Outputs!$C$41*S$10</f>
        <v/>
      </c>
      <c r="T41" s="15">
        <f>-MIN(0,T37)*-Sponsor_cap+Outputs!$C$41*T$10</f>
        <v/>
      </c>
      <c r="U41" s="15">
        <f>-MIN(0,U37)*-Sponsor_cap+Outputs!$C$41*U$10</f>
        <v/>
      </c>
      <c r="V41" s="15">
        <f>-MIN(0,V37)*-Sponsor_cap+Outputs!$C$41*V$10</f>
        <v/>
      </c>
      <c r="W41" s="15">
        <f>-MIN(0,W37)*-Sponsor_cap+Outputs!$C$41*W$10</f>
        <v/>
      </c>
      <c r="X41" s="15">
        <f>-MIN(0,X37)*-Sponsor_cap+Outputs!$C$41*X$10</f>
        <v/>
      </c>
      <c r="Y41" s="15">
        <f>-MIN(0,Y37)*-Sponsor_cap+Outputs!$C$41*Y$10</f>
        <v/>
      </c>
      <c r="Z41" s="15">
        <f>-MIN(0,Z37)*-Sponsor_cap+Outputs!$C$41*Z$10</f>
        <v/>
      </c>
      <c r="AA41" s="15">
        <f>-MIN(0,AA37)*-Sponsor_cap+Outputs!$C$41*AA$10</f>
        <v/>
      </c>
      <c r="AB41" s="15">
        <f>-MIN(0,AB37)*-Sponsor_cap+Outputs!$C$41*AB$10</f>
        <v/>
      </c>
      <c r="AC41" s="15">
        <f>-MIN(0,AC37)*-Sponsor_cap+Outputs!$C$41*AC$10</f>
        <v/>
      </c>
      <c r="AD41" s="15">
        <f>-MIN(0,AD37)*-Sponsor_cap+Outputs!$C$41*AD$10</f>
        <v/>
      </c>
      <c r="AE41" s="15">
        <f>-MIN(0,AE37)*-Sponsor_cap+Outputs!$C$41*AE$10</f>
        <v/>
      </c>
      <c r="AF41" s="15">
        <f>-MIN(0,AF37)*-Sponsor_cap+Outputs!$C$41*AF$10</f>
        <v/>
      </c>
      <c r="AG41" s="15">
        <f>-MIN(0,AG37)*-Sponsor_cap+Outputs!$C$41*AG$10</f>
        <v/>
      </c>
      <c r="AH41" s="15">
        <f>-MIN(0,AH37)*-Sponsor_cap+Outputs!$C$41*AH$10</f>
        <v/>
      </c>
      <c r="AI41" s="15">
        <f>-MIN(0,AI37)*-Sponsor_cap+Outputs!$C$41*AI$10</f>
        <v/>
      </c>
      <c r="AJ41" s="15">
        <f>-MIN(0,AJ37)*-Sponsor_cap+Outputs!$C$41*AJ$10</f>
        <v/>
      </c>
      <c r="AK41" s="15">
        <f>-MIN(0,AK37)*-Sponsor_cap+Outputs!$C$41*AK$10</f>
        <v/>
      </c>
      <c r="AL41" s="15">
        <f>-MIN(0,AL37)*-Sponsor_cap+Outputs!$C$41*AL$10</f>
        <v/>
      </c>
      <c r="AM41" s="15">
        <f>-MIN(0,AM37)*-Sponsor_cap+Outputs!$C$41*AM$10</f>
        <v/>
      </c>
      <c r="AN41" s="15">
        <f>-MIN(0,AN37)*-Sponsor_cap+Outputs!$C$41*AN$10</f>
        <v/>
      </c>
      <c r="AO41" s="15">
        <f>-MIN(0,AO37)*-Sponsor_cap+Outputs!$C$41*AO$10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3" max="3"/>
  </cols>
  <sheetData>
    <row r="1">
      <c r="A1" s="1" t="inlineStr">
        <is>
          <t>Risultati</t>
        </is>
      </c>
    </row>
    <row r="3">
      <c r="A3" t="inlineStr">
        <is>
          <t>Prezzo offerto</t>
        </is>
      </c>
      <c r="C3" s="15">
        <f>Prezzo</f>
        <v/>
      </c>
    </row>
    <row r="4">
      <c r="A4" t="inlineStr">
        <is>
          <t>Costo totale (prezzo, imposte, condominio, lavori, regolarizzazioni)</t>
        </is>
      </c>
      <c r="C4" s="15">
        <f>-(CF!$C$16+CF!$C$27)</f>
        <v/>
      </c>
    </row>
    <row r="5">
      <c r="A5" t="inlineStr">
        <is>
          <t>Prezzo di vendita netto</t>
        </is>
      </c>
      <c r="C5" s="15">
        <f>CF!$C$32</f>
        <v/>
      </c>
    </row>
    <row r="6">
      <c r="A6" s="7" t="inlineStr">
        <is>
          <t>Utile ante imposte</t>
        </is>
      </c>
      <c r="C6" s="20">
        <f>CF!$C$34</f>
        <v/>
      </c>
    </row>
    <row r="7">
      <c r="A7" s="7" t="inlineStr">
        <is>
          <t>Margine sul costo</t>
        </is>
      </c>
      <c r="C7" s="22">
        <f>C6/C4</f>
        <v/>
      </c>
    </row>
    <row r="8">
      <c r="A8" t="inlineStr">
        <is>
          <t>Capitale impegnato (picco di cassa)</t>
        </is>
      </c>
      <c r="C8" s="15">
        <f>-MIN(CF!$E$35:$AO$35)</f>
        <v/>
      </c>
    </row>
    <row r="9">
      <c r="A9" s="7" t="inlineStr">
        <is>
          <t>IRR annuo ante imposte</t>
        </is>
      </c>
      <c r="C9" s="22">
        <f>(1+IRR(CF!$E$34:$AO$34))^12-1</f>
        <v/>
      </c>
    </row>
    <row r="10">
      <c r="A10" t="inlineStr">
        <is>
          <t>Utile dopo IRES</t>
        </is>
      </c>
      <c r="C10" s="15">
        <f>CF!$C$37</f>
        <v/>
      </c>
    </row>
    <row r="11">
      <c r="A11" s="7" t="inlineStr">
        <is>
          <t>IRR annuo dopo IRES</t>
        </is>
      </c>
      <c r="C11" s="22">
        <f>(1+IRR(CF!$E$37:$AO$37))^12-1</f>
        <v/>
      </c>
    </row>
    <row r="12">
      <c r="A12" t="inlineStr">
        <is>
          <t>Multiplo del capitale dopo IRES</t>
        </is>
      </c>
      <c r="C12" s="23">
        <f>SUMIF(CF!$E$37:$AO$37,"&gt;0")/-SUMIF(CF!$E$37:$AO$37,"&lt;0")</f>
        <v/>
      </c>
    </row>
    <row r="13">
      <c r="A13" t="inlineStr">
        <is>
          <t>Durata dell'operazione</t>
        </is>
      </c>
      <c r="C13" s="24">
        <f>MeseVendita</f>
        <v/>
      </c>
    </row>
    <row r="15">
      <c r="A15" s="7" t="inlineStr">
        <is>
          <t>PREZZO MASSIMO D'OFFERTA</t>
        </is>
      </c>
    </row>
    <row r="16">
      <c r="A16" t="inlineStr">
        <is>
          <t>Costi fissi non legati al prezzo (positivi)</t>
        </is>
      </c>
      <c r="C16" s="15">
        <f>-CF!$C$27</f>
        <v/>
      </c>
    </row>
    <row r="17">
      <c r="A17" t="inlineStr">
        <is>
          <t>Prezzo massimo per margine obiettivo</t>
        </is>
      </c>
      <c r="C17" s="15">
        <f>(C5/(1+Margine_obj)-C16)/(1+Registro_pct)</f>
        <v/>
      </c>
    </row>
    <row r="18">
      <c r="A18" t="inlineStr">
        <is>
          <t>VAN al tasso obiettivo dei flussi non legati al prezzo</t>
        </is>
      </c>
      <c r="C18" s="15">
        <f>SUMPRODUCT(CF!$E$27:$AO$27+CF!$E$32:$AO$32,(1+TassoMese)^-CF!$E$3:$AO$3)</f>
        <v/>
      </c>
    </row>
    <row r="19">
      <c r="A19" t="inlineStr">
        <is>
          <t>VAN per 1 EUR di prezzo offerto</t>
        </is>
      </c>
      <c r="C19" s="25">
        <f>SUMPRODUCT(CF!$E$16:$AO$16,(1+TassoMese)^-CF!$E$3:$AO$3)/Prezzo</f>
        <v/>
      </c>
    </row>
    <row r="20">
      <c r="A20" t="inlineStr">
        <is>
          <t>Prezzo massimo per IRR obiettivo (ante imposte)</t>
        </is>
      </c>
      <c r="C20" s="15">
        <f>-C18/C19</f>
        <v/>
      </c>
    </row>
    <row r="21">
      <c r="A21" s="7" t="inlineStr">
        <is>
          <t>Prezzo massimo d'offerta (il piu' basso dei due)</t>
        </is>
      </c>
      <c r="C21" s="20">
        <f>MIN(C17,C20)</f>
        <v/>
      </c>
    </row>
    <row r="22">
      <c r="A22" t="inlineStr">
        <is>
          <t>Vincolo che lega</t>
        </is>
      </c>
      <c r="C22">
        <f>IF(C17&lt;=C20,"margine","IRR")</f>
        <v/>
      </c>
    </row>
    <row r="23">
      <c r="A23" t="inlineStr">
        <is>
          <t>Rispetto all'offerta minima (84.600)</t>
        </is>
      </c>
      <c r="C23" s="26">
        <f>C21/OffertaMinima-1</f>
        <v/>
      </c>
    </row>
    <row r="24">
      <c r="A24" t="inlineStr">
        <is>
          <t>Aggiudicazione attesa (base x moltiplicatore)</t>
        </is>
      </c>
      <c r="C24" s="15">
        <f>PrezzoBase*Moltiplicatore</f>
        <v/>
      </c>
    </row>
    <row r="25">
      <c r="A25" t="inlineStr">
        <is>
          <t>Margine di sicurezza: prezzo massimo meno aggiudicazione attesa</t>
        </is>
      </c>
      <c r="C25" s="15">
        <f>C21-C24</f>
        <v/>
      </c>
    </row>
    <row r="27">
      <c r="A27" s="7" t="inlineStr">
        <is>
          <t>PUNTO DI PAREGGIO SUL VALORE DI USCITA (al prezzo offerto)</t>
        </is>
      </c>
    </row>
    <row r="28">
      <c r="A28" s="7" t="inlineStr">
        <is>
          <t>Uscita per margine obiettivo</t>
        </is>
      </c>
      <c r="C28" s="27">
        <f>(C4*(1+Margine_obj)/(1-Vendita_pct)-Accessori)/MqComm</f>
        <v/>
      </c>
    </row>
    <row r="29">
      <c r="A29" t="inlineStr">
        <is>
          <t>Uscita per utile zero</t>
        </is>
      </c>
      <c r="C29" s="28">
        <f>(C4/(1-Vendita_pct)-Accessori)/MqComm</f>
        <v/>
      </c>
    </row>
    <row r="30">
      <c r="A30" t="inlineStr">
        <is>
          <t>Uscita usata nel caso attivo</t>
        </is>
      </c>
      <c r="C30" s="28">
        <f>UscitaMq</f>
        <v/>
      </c>
    </row>
    <row r="31">
      <c r="A31" t="inlineStr">
        <is>
          <t>Riscontro: valore della perizia / superficie commerciale</t>
        </is>
      </c>
      <c r="C31" s="28">
        <f>ValorePerizia/MqComm</f>
        <v/>
      </c>
    </row>
    <row r="33">
      <c r="A33" s="7" t="inlineStr">
        <is>
          <t>VERIFICA DEI PREZZI MASSIMI (ricalcolo indipendente)</t>
        </is>
      </c>
    </row>
    <row r="34">
      <c r="A34" t="inlineStr">
        <is>
          <t>Margine al prezzo massimo per margine</t>
        </is>
      </c>
      <c r="C34" s="26">
        <f>(C5-(C17*(1+Registro_pct)+C16))/(C17*(1+Registro_pct)+C16)</f>
        <v/>
      </c>
    </row>
    <row r="35">
      <c r="A35" t="inlineStr">
        <is>
          <t>VAN al prezzo massimo per IRR (deve essere circa 0)</t>
        </is>
      </c>
      <c r="C35" s="15">
        <f>C18+C19*C20</f>
        <v/>
      </c>
    </row>
    <row r="37">
      <c r="A37" s="7" t="inlineStr">
        <is>
          <t>CLUB DEAL (alla vendita, dopo IRES)</t>
        </is>
      </c>
    </row>
    <row r="38">
      <c r="A38" t="inlineStr">
        <is>
          <t>Capitale totale versato</t>
        </is>
      </c>
      <c r="C38" s="15">
        <f>-SUMIF(CF!$E$37:$AO$37,"&lt;0")</f>
        <v/>
      </c>
    </row>
    <row r="39">
      <c r="A39" t="inlineStr">
        <is>
          <t>Preferenziale maturato investitori (semplice)</t>
        </is>
      </c>
      <c r="C39" s="15">
        <f>C38*(1-Sponsor_cap)*Pref_pct*MeseVendita/12</f>
        <v/>
      </c>
    </row>
    <row r="40">
      <c r="A40" t="inlineStr">
        <is>
          <t>Distribuzione agli investitori</t>
        </is>
      </c>
      <c r="C40" s="15">
        <f>C44*(1-Sponsor_cap)+C45+C46*(1-Sponsor_split)</f>
        <v/>
      </c>
    </row>
    <row r="41">
      <c r="A41" t="inlineStr">
        <is>
          <t>Distribuzione al promotore</t>
        </is>
      </c>
      <c r="C41" s="15">
        <f>C47-C40</f>
        <v/>
      </c>
    </row>
    <row r="42">
      <c r="A42" t="inlineStr">
        <is>
          <t>IRR investitori</t>
        </is>
      </c>
      <c r="C42" s="26">
        <f>(1+IRR(CF!$E$40:$AO$40))^12-1</f>
        <v/>
      </c>
    </row>
    <row r="43">
      <c r="A43" t="inlineStr">
        <is>
          <t>IRR promotore</t>
        </is>
      </c>
      <c r="C43" s="26">
        <f>(1+IRR(CF!$E$41:$AO$41))^12-1</f>
        <v/>
      </c>
    </row>
    <row r="44">
      <c r="A44" t="inlineStr">
        <is>
          <t>Capitale restituito (pro quota; una perdita si ripartisce pro quota)</t>
        </is>
      </c>
      <c r="C44" s="15">
        <f>MIN(C47,C38)</f>
        <v/>
      </c>
    </row>
    <row r="45">
      <c r="A45" t="inlineStr">
        <is>
          <t>Preferenziale pagato</t>
        </is>
      </c>
      <c r="C45" s="15">
        <f>MIN(C47-C44,C39)</f>
        <v/>
      </c>
    </row>
    <row r="46">
      <c r="A46" t="inlineStr">
        <is>
          <t>Utile residuo da ripartire</t>
        </is>
      </c>
      <c r="C46" s="15">
        <f>C47-C44-C45</f>
        <v/>
      </c>
    </row>
    <row r="47">
      <c r="A47" t="inlineStr">
        <is>
          <t>Distribuzioni totali</t>
        </is>
      </c>
      <c r="C47" s="15">
        <f>SUMIF(CF!$E$37:$AO$37,"&gt;0")</f>
        <v/>
      </c>
    </row>
    <row r="49">
      <c r="A49" s="7" t="inlineStr">
        <is>
          <t>RISULTATI A PREZZI DIVERSI (margine ante imposte, forma chiusa)</t>
        </is>
      </c>
    </row>
    <row r="50">
      <c r="A50" t="inlineStr">
        <is>
          <t>Margine all'offerta minima</t>
        </is>
      </c>
      <c r="C50" s="26">
        <f>(C5-(OffertaMinima*(1+Registro_pct)+C16))/(OffertaMinima*(1+Registro_pct)+C16)</f>
        <v/>
      </c>
    </row>
    <row r="51">
      <c r="A51" t="inlineStr">
        <is>
          <t>VAN al 12% all'offerta minima</t>
        </is>
      </c>
      <c r="C51" s="15">
        <f>C18+C19*OffertaMinima</f>
        <v/>
      </c>
    </row>
    <row r="52">
      <c r="A52" t="inlineStr">
        <is>
          <t>Margine al prezzo base</t>
        </is>
      </c>
      <c r="C52" s="26">
        <f>(C5-(PrezzoBase*(1+Registro_pct)+C16))/(PrezzoBase*(1+Registro_pct)+C16)</f>
        <v/>
      </c>
    </row>
    <row r="53">
      <c r="A53" t="inlineStr">
        <is>
          <t>Margine all'aggiudicazione attesa</t>
        </is>
      </c>
      <c r="C53" s="26">
        <f>(C5-(C24*(1+Registro_pct)+C16))/(C24*(1+Registro_pct)+C16)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Controlli (1 = problema)</t>
        </is>
      </c>
    </row>
    <row r="3">
      <c r="A3" t="inlineStr">
        <is>
          <t>Le famiglie di costo e vendita sommano al flusso di cassa</t>
        </is>
      </c>
      <c r="B3">
        <f>IFERROR(1*(ABS(CF!$C$16+CF!$C$27+CF!$C$32-CF!$C$34)&gt;0.5),1)</f>
        <v/>
      </c>
    </row>
    <row r="4">
      <c r="A4" t="inlineStr">
        <is>
          <t>La vendita cade dentro la griglia di 36 mesi</t>
        </is>
      </c>
      <c r="B4">
        <f>IFERROR(1*(MeseVendita&gt;MesiGriglia),1)</f>
        <v/>
      </c>
    </row>
    <row r="5">
      <c r="A5" t="inlineStr">
        <is>
          <t>Il calendario e' in ordine (saldo &lt; decreto &lt; lavori &lt; vendita)</t>
        </is>
      </c>
      <c r="B5">
        <f>IFERROR(1*NOT(AND(MeseSaldo&lt;MeseDecreto,MeseDecreto&lt;MeseLavoriIni,MeseLavoriFine&lt;MeseVendita)),1)</f>
        <v/>
      </c>
    </row>
    <row r="6">
      <c r="A6" t="inlineStr">
        <is>
          <t>Selettore dello scenario valido</t>
        </is>
      </c>
      <c r="B6">
        <f>IFERROR(1*(OR(Scenario&lt;1,Scenario&gt;NumScenari,Scenario&lt;&gt;INT(Scenario))),1)</f>
        <v/>
      </c>
    </row>
    <row r="7">
      <c r="A7" t="inlineStr">
        <is>
          <t>Il prezzo massimo per margine restituisce il margine obiettivo</t>
        </is>
      </c>
      <c r="B7">
        <f>IFERROR(1*(ABS(Outputs!C34-Margine_obj)&gt;0.0001),1)</f>
        <v/>
      </c>
    </row>
    <row r="8">
      <c r="A8" t="inlineStr">
        <is>
          <t>Il prezzo massimo per IRR azzera il VAN</t>
        </is>
      </c>
      <c r="B8">
        <f>IFERROR(1*(ABS(Outputs!C35)&gt;1),1)</f>
        <v/>
      </c>
    </row>
    <row r="9">
      <c r="A9" t="inlineStr">
        <is>
          <t>I flussi dei soci sommano al flusso dopo IRES</t>
        </is>
      </c>
      <c r="B9">
        <f>IFERROR(1*(ABS(CF!C40+CF!C41-CF!$C$37)&gt;1),1)</f>
        <v/>
      </c>
    </row>
    <row r="10">
      <c r="A10" t="inlineStr">
        <is>
          <t>IRR ante imposte calcolato (non errore)</t>
        </is>
      </c>
      <c r="B10">
        <f>IFERROR(1*NOT(ISNUMBER(Outputs!C9)),1)</f>
        <v/>
      </c>
    </row>
    <row r="12">
      <c r="A12" s="7" t="inlineStr">
        <is>
          <t>Warnings</t>
        </is>
      </c>
    </row>
    <row r="13">
      <c r="A13" t="inlineStr">
        <is>
          <t>Prezzo offerto sopra il prezzo massimo d'offerta</t>
        </is>
      </c>
      <c r="B13">
        <f>IFERROR(1*(Prezzo&gt;Outputs!C21),1)</f>
        <v/>
      </c>
    </row>
    <row r="14">
      <c r="A14" t="inlineStr">
        <is>
          <t>Margine sotto la soglia QRE</t>
        </is>
      </c>
      <c r="B14">
        <f>IFERROR(1*(Outputs!C7&lt;Margine_obj),1)</f>
        <v/>
      </c>
    </row>
    <row r="15">
      <c r="A15" t="inlineStr">
        <is>
          <t>IRR dopo IRES sotto la soglia QRE</t>
        </is>
      </c>
      <c r="B15">
        <f>IFERROR(1*(Outputs!C11&lt;Irr_obj),1)</f>
        <v/>
      </c>
    </row>
    <row r="16">
      <c r="A16" t="inlineStr">
        <is>
          <t>Occupato da terzi senza titolo: liberazione affidata al custode (ordine del 29/05/2026)</t>
        </is>
      </c>
      <c r="B16" s="14" t="n">
        <v>1</v>
      </c>
    </row>
    <row r="17">
      <c r="A17" t="inlineStr">
        <is>
          <t>Moltiplicatore 1,20 calibrato su aste di Milano, non dell'hinterland</t>
        </is>
      </c>
      <c r="B17" s="14" t="n">
        <v>1</v>
      </c>
    </row>
    <row r="18">
      <c r="A18" t="inlineStr">
        <is>
          <t>Cauzione: percentuale da verificare nell'avviso</t>
        </is>
      </c>
      <c r="B18" s="14" t="n">
        <v>1</v>
      </c>
    </row>
    <row r="19">
      <c r="A19" t="inlineStr">
        <is>
          <t>Aliquota di registro e trattamento IVA da confermare col parere fiscale</t>
        </is>
      </c>
      <c r="B19" s="14" t="n">
        <v>1</v>
      </c>
    </row>
    <row r="21">
      <c r="A21" s="7" t="inlineStr">
        <is>
          <t>Errori totali</t>
        </is>
      </c>
      <c r="B21" s="7">
        <f>SUM(B3:B10)</f>
        <v/>
      </c>
    </row>
    <row r="22">
      <c r="A22" s="7" t="inlineStr">
        <is>
          <t>Avvisi totali</t>
        </is>
      </c>
      <c r="B22" s="7">
        <f>SUM(B13:B19)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2026-10-18T18:54:44Z</dcterms:created>
  <dcterms:modified xmlns:dcterms="http://purl.org/dc/terms/" xmlns:xsi="http://www.w3.org/2001/XMLSchema-instance" xsi:type="dcterms:W3CDTF">2026-10-18T18:54:44Z</dcterms:modified>
</cp:coreProperties>
</file>